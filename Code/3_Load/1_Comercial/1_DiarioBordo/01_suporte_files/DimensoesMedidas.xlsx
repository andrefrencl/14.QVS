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1.xml" ContentType="application/vnd.openxmlformats-officedocument.spreadsheetml.comments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QlikView_STCRUZ\DEV\14.QVS\Code\3_Load\1_Comercial\1_DiarioBordo\"/>
    </mc:Choice>
  </mc:AlternateContent>
  <bookViews>
    <workbookView xWindow="-120" yWindow="-120" windowWidth="29040" windowHeight="15720" tabRatio="849" firstSheet="1" activeTab="4"/>
  </bookViews>
  <sheets>
    <sheet name="medidas" sheetId="1" r:id="rId1"/>
    <sheet name="AbasMedidasDIARIO" sheetId="26" r:id="rId2"/>
    <sheet name="ApenasDimensao" sheetId="20" r:id="rId3"/>
    <sheet name="AbasDimensaoDIARIO" sheetId="22" r:id="rId4"/>
    <sheet name="ConfiguraçãoDimensao" sheetId="21" r:id="rId5"/>
    <sheet name="MergeCampos" sheetId="14" r:id="rId6"/>
    <sheet name="MergeExpressoes" sheetId="16" r:id="rId7"/>
    <sheet name="Regras" sheetId="27" r:id="rId8"/>
    <sheet name="ExportExpressoesDimensoesPainel" sheetId="28" r:id="rId9"/>
    <sheet name="ImportDimensoes" sheetId="29" r:id="rId10"/>
    <sheet name="DimensaoExistente" sheetId="32" r:id="rId11"/>
    <sheet name="ImportMeasures" sheetId="30" r:id="rId12"/>
    <sheet name="ResumoExport" sheetId="31" r:id="rId13"/>
  </sheets>
  <definedNames>
    <definedName name="_xlnm._FilterDatabase" localSheetId="3" hidden="1">AbasDimensaoDIARIO!#REF!</definedName>
    <definedName name="_xlnm._FilterDatabase" localSheetId="2" hidden="1">ApenasDimensao!#REF!</definedName>
    <definedName name="_xlnm._FilterDatabase" localSheetId="4" hidden="1">ConfiguraçãoDimensao!#REF!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0" i="22" l="1"/>
  <c r="F80" i="22"/>
  <c r="C80" i="22"/>
  <c r="G79" i="22"/>
  <c r="F79" i="22"/>
  <c r="C79" i="22"/>
  <c r="G78" i="22"/>
  <c r="F78" i="22"/>
  <c r="C78" i="22"/>
  <c r="G77" i="22"/>
  <c r="F77" i="22"/>
  <c r="C77" i="22"/>
  <c r="G76" i="22"/>
  <c r="F76" i="22"/>
  <c r="C76" i="22"/>
  <c r="G75" i="22"/>
  <c r="F75" i="22"/>
  <c r="C75" i="22"/>
  <c r="G74" i="22"/>
  <c r="F74" i="22"/>
  <c r="C74" i="22"/>
  <c r="G73" i="22"/>
  <c r="F73" i="22"/>
  <c r="C73" i="22"/>
  <c r="G72" i="22"/>
  <c r="F72" i="22"/>
  <c r="C72" i="22"/>
  <c r="G71" i="22"/>
  <c r="F71" i="22"/>
  <c r="C71" i="22"/>
  <c r="G70" i="22"/>
  <c r="F70" i="22"/>
  <c r="C70" i="22"/>
  <c r="G69" i="22"/>
  <c r="F69" i="22"/>
  <c r="C69" i="22"/>
  <c r="G68" i="22"/>
  <c r="F68" i="22"/>
  <c r="C68" i="22"/>
  <c r="G67" i="22"/>
  <c r="F67" i="22"/>
  <c r="C67" i="22"/>
  <c r="G66" i="22"/>
  <c r="F66" i="22"/>
  <c r="C66" i="22"/>
  <c r="G65" i="22"/>
  <c r="F65" i="22"/>
  <c r="C65" i="22"/>
  <c r="G64" i="22"/>
  <c r="F64" i="22"/>
  <c r="C64" i="22"/>
  <c r="G63" i="22"/>
  <c r="F63" i="22"/>
  <c r="C63" i="22"/>
  <c r="G62" i="22"/>
  <c r="F62" i="22"/>
  <c r="C62" i="22"/>
  <c r="G61" i="22"/>
  <c r="F61" i="22"/>
  <c r="C61" i="22"/>
  <c r="G60" i="22"/>
  <c r="F60" i="22"/>
  <c r="C60" i="22"/>
  <c r="G59" i="22"/>
  <c r="F59" i="22"/>
  <c r="C59" i="22"/>
  <c r="G58" i="22"/>
  <c r="F58" i="22"/>
  <c r="C58" i="22"/>
  <c r="G57" i="22"/>
  <c r="F57" i="22"/>
  <c r="C57" i="22"/>
  <c r="G56" i="22"/>
  <c r="F56" i="22"/>
  <c r="C56" i="22"/>
  <c r="G55" i="22"/>
  <c r="F55" i="22"/>
  <c r="C55" i="22"/>
  <c r="G54" i="22"/>
  <c r="F54" i="22"/>
  <c r="C54" i="22"/>
  <c r="G53" i="22"/>
  <c r="F53" i="22"/>
  <c r="C53" i="22"/>
  <c r="G52" i="22"/>
  <c r="F52" i="22"/>
  <c r="C52" i="22"/>
  <c r="G51" i="22"/>
  <c r="F51" i="22"/>
  <c r="C51" i="22"/>
  <c r="G50" i="22"/>
  <c r="F50" i="22"/>
  <c r="C50" i="22"/>
  <c r="G49" i="22"/>
  <c r="F49" i="22"/>
  <c r="C49" i="22"/>
  <c r="G48" i="22"/>
  <c r="F48" i="22"/>
  <c r="C48" i="22"/>
  <c r="G47" i="22"/>
  <c r="F47" i="22"/>
  <c r="C47" i="22"/>
  <c r="G46" i="22"/>
  <c r="F46" i="22"/>
  <c r="C46" i="22"/>
  <c r="G45" i="22"/>
  <c r="F45" i="22"/>
  <c r="C45" i="22"/>
  <c r="G44" i="22"/>
  <c r="F44" i="22"/>
  <c r="C44" i="22"/>
  <c r="G43" i="22"/>
  <c r="F43" i="22"/>
  <c r="C43" i="22"/>
  <c r="G42" i="22"/>
  <c r="F42" i="22"/>
  <c r="C42" i="22"/>
  <c r="G41" i="22"/>
  <c r="F41" i="22"/>
  <c r="C41" i="22"/>
  <c r="G40" i="22"/>
  <c r="F40" i="22"/>
  <c r="C40" i="22"/>
  <c r="G39" i="22"/>
  <c r="F39" i="22"/>
  <c r="C39" i="22"/>
  <c r="G38" i="22"/>
  <c r="F38" i="22"/>
  <c r="C38" i="22"/>
  <c r="G37" i="22"/>
  <c r="F37" i="22"/>
  <c r="C37" i="22"/>
  <c r="G36" i="22"/>
  <c r="F36" i="22"/>
  <c r="C36" i="22"/>
  <c r="G35" i="22"/>
  <c r="F35" i="22"/>
  <c r="C35" i="22"/>
  <c r="G34" i="22"/>
  <c r="F34" i="22"/>
  <c r="C34" i="22"/>
  <c r="G33" i="22"/>
  <c r="F33" i="22"/>
  <c r="C33" i="22"/>
  <c r="G32" i="22"/>
  <c r="F32" i="22"/>
  <c r="C32" i="22"/>
  <c r="G31" i="22"/>
  <c r="F31" i="22"/>
  <c r="C31" i="22"/>
  <c r="G30" i="22"/>
  <c r="F30" i="22"/>
  <c r="C30" i="22"/>
  <c r="G29" i="22"/>
  <c r="F29" i="22"/>
  <c r="C29" i="22"/>
  <c r="G28" i="22"/>
  <c r="F28" i="22"/>
  <c r="C28" i="22"/>
  <c r="G27" i="22"/>
  <c r="F27" i="22"/>
  <c r="C27" i="22"/>
  <c r="G26" i="22"/>
  <c r="F26" i="22"/>
  <c r="C26" i="22"/>
  <c r="G25" i="22"/>
  <c r="F25" i="22"/>
  <c r="C25" i="22"/>
  <c r="G24" i="22"/>
  <c r="F24" i="22"/>
  <c r="C24" i="22"/>
  <c r="G23" i="22"/>
  <c r="F23" i="22"/>
  <c r="C23" i="22"/>
  <c r="G22" i="22"/>
  <c r="F22" i="22"/>
  <c r="C22" i="22"/>
  <c r="G21" i="22"/>
  <c r="F21" i="22"/>
  <c r="C21" i="22"/>
  <c r="G20" i="22"/>
  <c r="F20" i="22"/>
  <c r="C20" i="22"/>
  <c r="G2" i="22"/>
  <c r="F2" i="22"/>
  <c r="C2" i="22"/>
  <c r="G19" i="22"/>
  <c r="F19" i="22"/>
  <c r="C19" i="22"/>
  <c r="G18" i="22"/>
  <c r="F18" i="22"/>
  <c r="C18" i="22"/>
  <c r="G17" i="22"/>
  <c r="F17" i="22"/>
  <c r="C17" i="22"/>
  <c r="G2" i="20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H2" i="20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C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10" i="21" l="1"/>
  <c r="C9" i="21"/>
  <c r="C2" i="21"/>
  <c r="C3" i="21"/>
  <c r="C8" i="21"/>
  <c r="C5" i="21"/>
  <c r="C4" i="21"/>
  <c r="C7" i="21"/>
  <c r="C6" i="21"/>
  <c r="H78" i="27"/>
  <c r="I78" i="27"/>
  <c r="H35" i="27"/>
  <c r="I35" i="27"/>
  <c r="I143" i="28"/>
  <c r="I115" i="28"/>
  <c r="I14" i="28"/>
  <c r="I37" i="28"/>
  <c r="I106" i="28"/>
  <c r="I59" i="28"/>
  <c r="I39" i="28"/>
  <c r="I129" i="28"/>
  <c r="I46" i="28"/>
  <c r="I52" i="28"/>
  <c r="I119" i="28"/>
  <c r="I114" i="28"/>
  <c r="I152" i="28"/>
  <c r="I80" i="28"/>
  <c r="I118" i="28"/>
  <c r="I71" i="28"/>
  <c r="I85" i="28"/>
  <c r="I8" i="28"/>
  <c r="I144" i="28"/>
  <c r="I150" i="28"/>
  <c r="I60" i="28"/>
  <c r="I89" i="28"/>
  <c r="I87" i="28"/>
  <c r="I98" i="28"/>
  <c r="I128" i="28"/>
  <c r="I43" i="28"/>
  <c r="I155" i="28"/>
  <c r="I17" i="28"/>
  <c r="I112" i="28"/>
  <c r="I108" i="28"/>
  <c r="I122" i="28"/>
  <c r="I153" i="28"/>
  <c r="I56" i="28"/>
  <c r="I105" i="28"/>
  <c r="I5" i="28"/>
  <c r="I64" i="28"/>
  <c r="I83" i="28"/>
  <c r="I91" i="28"/>
  <c r="I78" i="28"/>
  <c r="I148" i="28"/>
  <c r="I68" i="28"/>
  <c r="I126" i="28"/>
  <c r="I120" i="28"/>
  <c r="I101" i="28"/>
  <c r="I23" i="28"/>
  <c r="I41" i="28"/>
  <c r="I32" i="27"/>
  <c r="I31" i="27"/>
  <c r="I30" i="27"/>
  <c r="I29" i="27"/>
  <c r="H32" i="27"/>
  <c r="H31" i="27"/>
  <c r="H30" i="27"/>
  <c r="H29" i="27"/>
  <c r="H55" i="27"/>
  <c r="H56" i="27"/>
  <c r="H57" i="27"/>
  <c r="H58" i="27"/>
  <c r="H59" i="27"/>
  <c r="H60" i="27"/>
  <c r="H61" i="27"/>
  <c r="H27" i="27"/>
  <c r="H62" i="27"/>
  <c r="H63" i="27"/>
  <c r="H64" i="27"/>
  <c r="H65" i="27"/>
  <c r="H66" i="27"/>
  <c r="H67" i="27"/>
  <c r="H68" i="27"/>
  <c r="H69" i="27"/>
  <c r="H70" i="27"/>
  <c r="H71" i="27"/>
  <c r="H72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8" i="27"/>
  <c r="I69" i="27"/>
  <c r="I70" i="27"/>
  <c r="I71" i="27"/>
  <c r="I72" i="27"/>
  <c r="C4" i="22"/>
  <c r="C3" i="22"/>
  <c r="C16" i="22"/>
  <c r="C15" i="22"/>
  <c r="C14" i="22"/>
  <c r="C13" i="22"/>
  <c r="C12" i="22"/>
  <c r="C11" i="22"/>
  <c r="C10" i="22"/>
  <c r="C9" i="22"/>
  <c r="C8" i="22"/>
  <c r="C7" i="22"/>
  <c r="C6" i="22"/>
  <c r="C5" i="22"/>
  <c r="G16" i="22"/>
  <c r="G15" i="22"/>
  <c r="G14" i="22"/>
  <c r="G13" i="22"/>
  <c r="G12" i="22"/>
  <c r="G11" i="22"/>
  <c r="G10" i="22"/>
  <c r="G9" i="22"/>
  <c r="G8" i="22"/>
  <c r="G7" i="22"/>
  <c r="G6" i="22"/>
  <c r="G5" i="22"/>
  <c r="G3" i="22"/>
  <c r="G4" i="22"/>
  <c r="H54" i="27"/>
  <c r="I54" i="27"/>
  <c r="H53" i="27"/>
  <c r="I53" i="27"/>
  <c r="I45" i="27"/>
  <c r="I46" i="27"/>
  <c r="I47" i="27"/>
  <c r="I48" i="27"/>
  <c r="I49" i="27"/>
  <c r="I50" i="27"/>
  <c r="I51" i="27"/>
  <c r="I52" i="27"/>
  <c r="H10" i="27"/>
  <c r="H43" i="27"/>
  <c r="H18" i="27"/>
  <c r="H77" i="27"/>
  <c r="H22" i="27"/>
  <c r="H2" i="27"/>
  <c r="H7" i="27"/>
  <c r="H24" i="27"/>
  <c r="H25" i="27"/>
  <c r="H26" i="27"/>
  <c r="H16" i="27"/>
  <c r="H44" i="27"/>
  <c r="H73" i="27"/>
  <c r="H20" i="27"/>
  <c r="H74" i="27"/>
  <c r="H36" i="27"/>
  <c r="H39" i="27"/>
  <c r="H38" i="27"/>
  <c r="H40" i="27"/>
  <c r="H76" i="27"/>
  <c r="H23" i="27"/>
  <c r="H9" i="27"/>
  <c r="H13" i="27"/>
  <c r="H14" i="27"/>
  <c r="H12" i="27"/>
  <c r="H11" i="27"/>
  <c r="H15" i="27"/>
  <c r="H45" i="27"/>
  <c r="H46" i="27"/>
  <c r="H47" i="27"/>
  <c r="H48" i="27"/>
  <c r="H49" i="27"/>
  <c r="H50" i="27"/>
  <c r="H51" i="27"/>
  <c r="H52" i="27"/>
  <c r="H75" i="27"/>
  <c r="H28" i="27"/>
  <c r="H4" i="27"/>
  <c r="H5" i="27"/>
  <c r="H37" i="27"/>
  <c r="H3" i="27"/>
  <c r="H19" i="27"/>
  <c r="H6" i="27"/>
  <c r="H34" i="27"/>
  <c r="H33" i="27"/>
  <c r="H21" i="27"/>
  <c r="H8" i="27"/>
  <c r="H42" i="27"/>
  <c r="H41" i="27"/>
  <c r="H17" i="27"/>
  <c r="I2" i="28"/>
  <c r="I42" i="27" s="1"/>
  <c r="I3" i="28"/>
  <c r="I4" i="28"/>
  <c r="I6" i="28"/>
  <c r="I13" i="27" s="1"/>
  <c r="I7" i="28"/>
  <c r="I9" i="28"/>
  <c r="I23" i="27" s="1"/>
  <c r="I10" i="28"/>
  <c r="I11" i="28"/>
  <c r="I12" i="28"/>
  <c r="I14" i="27" s="1"/>
  <c r="I13" i="28"/>
  <c r="I15" i="28"/>
  <c r="I36" i="27" s="1"/>
  <c r="I16" i="28"/>
  <c r="I18" i="28"/>
  <c r="I26" i="27" s="1"/>
  <c r="I19" i="28"/>
  <c r="I20" i="28"/>
  <c r="I21" i="28"/>
  <c r="I39" i="27" s="1"/>
  <c r="I22" i="28"/>
  <c r="I24" i="28"/>
  <c r="I21" i="27" s="1"/>
  <c r="I25" i="28"/>
  <c r="I26" i="28"/>
  <c r="I27" i="28"/>
  <c r="I28" i="28"/>
  <c r="I29" i="28"/>
  <c r="I30" i="28"/>
  <c r="I31" i="28"/>
  <c r="I32" i="28"/>
  <c r="I33" i="28"/>
  <c r="I34" i="28"/>
  <c r="I35" i="28"/>
  <c r="I36" i="28"/>
  <c r="I38" i="28"/>
  <c r="I10" i="27" s="1"/>
  <c r="I40" i="28"/>
  <c r="I34" i="27" s="1"/>
  <c r="I42" i="28"/>
  <c r="I75" i="27" s="1"/>
  <c r="I44" i="28"/>
  <c r="I12" i="27" s="1"/>
  <c r="I45" i="28"/>
  <c r="I47" i="28"/>
  <c r="I19" i="27" s="1"/>
  <c r="I48" i="28"/>
  <c r="I49" i="28"/>
  <c r="I50" i="28"/>
  <c r="I11" i="27" s="1"/>
  <c r="I51" i="28"/>
  <c r="I53" i="28"/>
  <c r="I41" i="27" s="1"/>
  <c r="I54" i="28"/>
  <c r="I55" i="28"/>
  <c r="I57" i="28"/>
  <c r="I16" i="27" s="1"/>
  <c r="I58" i="28"/>
  <c r="I61" i="28"/>
  <c r="I44" i="27" s="1"/>
  <c r="I62" i="28"/>
  <c r="I63" i="28"/>
  <c r="I65" i="28"/>
  <c r="I43" i="27" s="1"/>
  <c r="I66" i="28"/>
  <c r="I67" i="28"/>
  <c r="I69" i="28"/>
  <c r="I15" i="27" s="1"/>
  <c r="I70" i="28"/>
  <c r="I72" i="28"/>
  <c r="I18" i="27" s="1"/>
  <c r="I73" i="28"/>
  <c r="I74" i="28"/>
  <c r="I75" i="28"/>
  <c r="I76" i="27" s="1"/>
  <c r="I76" i="28"/>
  <c r="I77" i="28"/>
  <c r="I79" i="28"/>
  <c r="I22" i="27" s="1"/>
  <c r="I81" i="28"/>
  <c r="I38" i="27" s="1"/>
  <c r="I82" i="28"/>
  <c r="I84" i="28"/>
  <c r="I28" i="27" s="1"/>
  <c r="I86" i="28"/>
  <c r="I4" i="27" s="1"/>
  <c r="I88" i="28"/>
  <c r="I77" i="27" s="1"/>
  <c r="I90" i="28"/>
  <c r="I33" i="27" s="1"/>
  <c r="I92" i="28"/>
  <c r="I17" i="27" s="1"/>
  <c r="I93" i="28"/>
  <c r="I94" i="28"/>
  <c r="I95" i="28"/>
  <c r="I96" i="28"/>
  <c r="I97" i="28"/>
  <c r="I99" i="28"/>
  <c r="I40" i="27" s="1"/>
  <c r="I100" i="28"/>
  <c r="I102" i="28"/>
  <c r="I73" i="27" s="1"/>
  <c r="I103" i="28"/>
  <c r="I104" i="28"/>
  <c r="I107" i="28"/>
  <c r="I5" i="27" s="1"/>
  <c r="I109" i="28"/>
  <c r="I6" i="27" s="1"/>
  <c r="I110" i="28"/>
  <c r="I111" i="28"/>
  <c r="I113" i="28"/>
  <c r="I2" i="27" s="1"/>
  <c r="I116" i="28"/>
  <c r="I20" i="27" s="1"/>
  <c r="I117" i="28"/>
  <c r="I121" i="28"/>
  <c r="I7" i="27" s="1"/>
  <c r="I123" i="28"/>
  <c r="I37" i="27" s="1"/>
  <c r="I124" i="28"/>
  <c r="I125" i="28"/>
  <c r="I127" i="28"/>
  <c r="I24" i="27" s="1"/>
  <c r="I130" i="28"/>
  <c r="I3" i="27" s="1"/>
  <c r="I131" i="28"/>
  <c r="I132" i="28"/>
  <c r="I133" i="28"/>
  <c r="I134" i="28"/>
  <c r="I135" i="28"/>
  <c r="I136" i="28"/>
  <c r="I137" i="28"/>
  <c r="I138" i="28"/>
  <c r="I139" i="28"/>
  <c r="I140" i="28"/>
  <c r="I141" i="28"/>
  <c r="I142" i="28"/>
  <c r="I145" i="28"/>
  <c r="I74" i="27" s="1"/>
  <c r="I146" i="28"/>
  <c r="I147" i="28"/>
  <c r="I149" i="28"/>
  <c r="I8" i="27" s="1"/>
  <c r="I151" i="28"/>
  <c r="I25" i="27" s="1"/>
  <c r="I154" i="28"/>
  <c r="I9" i="27" s="1"/>
  <c r="D12" i="26"/>
  <c r="C12" i="26"/>
  <c r="I32" i="1" s="1"/>
  <c r="C11" i="26"/>
  <c r="I26" i="1" s="1"/>
  <c r="D11" i="26"/>
  <c r="I11" i="1"/>
  <c r="I12" i="1"/>
  <c r="I13" i="1"/>
  <c r="I14" i="1"/>
  <c r="I15" i="1"/>
  <c r="I17" i="1"/>
  <c r="I18" i="1"/>
  <c r="I20" i="1"/>
  <c r="I25" i="1"/>
  <c r="I28" i="1"/>
  <c r="I16" i="1"/>
  <c r="I19" i="1"/>
  <c r="I21" i="1"/>
  <c r="I22" i="1"/>
  <c r="I24" i="1"/>
  <c r="I31" i="1"/>
  <c r="I3" i="1"/>
  <c r="I34" i="1"/>
  <c r="I35" i="1"/>
  <c r="I36" i="1"/>
  <c r="I37" i="1"/>
  <c r="I38" i="1"/>
  <c r="I29" i="1"/>
  <c r="F16" i="22"/>
  <c r="I27" i="27" l="1"/>
  <c r="F15" i="22"/>
  <c r="F14" i="22"/>
  <c r="F13" i="22"/>
  <c r="E10" i="21"/>
  <c r="E9" i="21"/>
  <c r="F11" i="22" l="1"/>
  <c r="F9" i="22"/>
  <c r="F7" i="22"/>
  <c r="F8" i="22"/>
  <c r="F12" i="22" l="1"/>
  <c r="F6" i="22"/>
  <c r="F5" i="22"/>
  <c r="F3" i="22"/>
  <c r="C6" i="26"/>
  <c r="I5" i="1" s="1"/>
  <c r="C8" i="26"/>
  <c r="I8" i="1" s="1"/>
  <c r="C2" i="26"/>
  <c r="I33" i="1" s="1"/>
  <c r="I27" i="1"/>
  <c r="D6" i="26"/>
  <c r="D8" i="26"/>
  <c r="D2" i="26"/>
  <c r="E2" i="21"/>
  <c r="H2" i="32"/>
  <c r="H3" i="32"/>
  <c r="H4" i="32"/>
  <c r="H5" i="32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34" i="32"/>
  <c r="H35" i="32"/>
  <c r="H36" i="32"/>
  <c r="H37" i="32"/>
  <c r="H38" i="32"/>
  <c r="H39" i="32"/>
  <c r="H40" i="32"/>
  <c r="H41" i="32"/>
  <c r="H42" i="32"/>
  <c r="H43" i="32"/>
  <c r="E3" i="21"/>
  <c r="F4" i="22" l="1"/>
  <c r="I30" i="1"/>
  <c r="C10" i="26"/>
  <c r="I6" i="1" s="1"/>
  <c r="D10" i="26"/>
  <c r="I23" i="1"/>
  <c r="C7" i="26"/>
  <c r="I10" i="1" s="1"/>
  <c r="D7" i="26"/>
  <c r="C4" i="26"/>
  <c r="I7" i="1" s="1"/>
  <c r="D4" i="26"/>
  <c r="C5" i="26"/>
  <c r="I4" i="1" s="1"/>
  <c r="D5" i="26"/>
  <c r="C9" i="26"/>
  <c r="I9" i="1" s="1"/>
  <c r="D9" i="26"/>
  <c r="D3" i="26"/>
  <c r="E6" i="21"/>
  <c r="E4" i="21"/>
  <c r="E8" i="21"/>
  <c r="E5" i="21"/>
  <c r="E7" i="21"/>
  <c r="F10" i="22"/>
  <c r="C3" i="26"/>
  <c r="I2" i="1" s="1"/>
  <c r="C232" i="16" l="1"/>
  <c r="C233" i="16"/>
  <c r="C21" i="16"/>
  <c r="C29" i="16"/>
  <c r="C22" i="16"/>
  <c r="C27" i="16"/>
  <c r="C32" i="16"/>
  <c r="C37" i="16"/>
  <c r="C23" i="16"/>
  <c r="C25" i="16"/>
  <c r="C24" i="16"/>
  <c r="C26" i="16"/>
  <c r="C234" i="16"/>
  <c r="C28" i="16"/>
  <c r="C33" i="16"/>
  <c r="C35" i="16"/>
  <c r="C34" i="16"/>
  <c r="C36" i="16"/>
  <c r="C235" i="16"/>
  <c r="C38" i="16"/>
  <c r="C31" i="16"/>
  <c r="C236" i="16"/>
  <c r="C237" i="16"/>
  <c r="C238" i="16"/>
  <c r="C5" i="16"/>
  <c r="C6" i="16"/>
  <c r="C4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1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03" i="16"/>
  <c r="C304" i="16"/>
  <c r="C12" i="16"/>
  <c r="C13" i="16"/>
  <c r="C17" i="16"/>
  <c r="C18" i="16"/>
  <c r="C14" i="16"/>
  <c r="C15" i="16"/>
  <c r="C16" i="16"/>
  <c r="C19" i="16"/>
  <c r="C20" i="16"/>
  <c r="C305" i="16"/>
  <c r="C306" i="16"/>
  <c r="C307" i="16"/>
  <c r="C308" i="16"/>
  <c r="C309" i="16"/>
  <c r="C310" i="16"/>
  <c r="C311" i="16"/>
  <c r="C312" i="16"/>
  <c r="C313" i="16"/>
  <c r="C314" i="16"/>
  <c r="C315" i="16"/>
  <c r="C316" i="16"/>
  <c r="C317" i="16"/>
  <c r="C318" i="16"/>
  <c r="C319" i="16"/>
  <c r="C320" i="16"/>
  <c r="C321" i="16"/>
  <c r="C322" i="16"/>
  <c r="C323" i="16"/>
  <c r="C324" i="16"/>
  <c r="C325" i="16"/>
  <c r="C326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C340" i="16"/>
  <c r="C341" i="16"/>
  <c r="C342" i="16"/>
  <c r="C343" i="16"/>
  <c r="C2" i="16"/>
  <c r="C3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344" i="16"/>
  <c r="C55" i="16"/>
  <c r="C56" i="16"/>
  <c r="C57" i="16"/>
  <c r="C58" i="16"/>
  <c r="C59" i="16"/>
  <c r="C60" i="16"/>
  <c r="C61" i="16"/>
  <c r="C345" i="16"/>
  <c r="C346" i="16"/>
  <c r="C30" i="16"/>
  <c r="C7" i="16"/>
  <c r="C9" i="16"/>
  <c r="C8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347" i="16"/>
  <c r="C112" i="16"/>
  <c r="C113" i="16"/>
  <c r="C114" i="16"/>
  <c r="C115" i="16"/>
  <c r="C116" i="16"/>
  <c r="C117" i="16"/>
  <c r="C118" i="16"/>
  <c r="C348" i="16"/>
  <c r="C349" i="16"/>
  <c r="C62" i="16"/>
  <c r="C63" i="16"/>
  <c r="C64" i="16"/>
  <c r="C65" i="16"/>
  <c r="C66" i="16"/>
  <c r="C70" i="16"/>
  <c r="C67" i="16"/>
  <c r="C68" i="16"/>
  <c r="C69" i="16"/>
  <c r="C71" i="16"/>
  <c r="C75" i="16"/>
  <c r="C76" i="16"/>
  <c r="C78" i="16"/>
  <c r="C79" i="16"/>
  <c r="C72" i="16"/>
  <c r="C73" i="16"/>
  <c r="C74" i="16"/>
  <c r="C80" i="16"/>
  <c r="C77" i="16"/>
  <c r="C81" i="16"/>
  <c r="C350" i="16"/>
  <c r="C351" i="16"/>
  <c r="C82" i="16"/>
  <c r="C83" i="16"/>
  <c r="C87" i="16"/>
  <c r="C84" i="16"/>
  <c r="C85" i="16"/>
  <c r="C86" i="16"/>
  <c r="C352" i="16"/>
  <c r="C353" i="16"/>
  <c r="C354" i="16"/>
  <c r="C355" i="16"/>
  <c r="C356" i="16"/>
  <c r="C357" i="16"/>
  <c r="C88" i="16"/>
  <c r="C89" i="16"/>
  <c r="C90" i="16"/>
  <c r="C91" i="16"/>
  <c r="C92" i="16"/>
  <c r="C93" i="16"/>
  <c r="C94" i="16"/>
  <c r="C95" i="16"/>
  <c r="C10" i="16"/>
  <c r="C358" i="16"/>
  <c r="C359" i="16"/>
  <c r="C360" i="16"/>
  <c r="C361" i="16"/>
  <c r="C362" i="16"/>
  <c r="C363" i="16"/>
  <c r="C364" i="16"/>
  <c r="C365" i="16"/>
  <c r="C366" i="16"/>
  <c r="C367" i="16"/>
  <c r="C368" i="16"/>
  <c r="C369" i="16"/>
  <c r="C370" i="16"/>
  <c r="C371" i="16"/>
  <c r="C372" i="16"/>
  <c r="C122" i="16"/>
  <c r="C124" i="16"/>
  <c r="C123" i="16"/>
  <c r="C120" i="16"/>
  <c r="C119" i="16"/>
  <c r="C121" i="16"/>
  <c r="C125" i="16"/>
  <c r="C373" i="16"/>
  <c r="C374" i="16"/>
  <c r="C375" i="16"/>
  <c r="C376" i="16"/>
  <c r="C377" i="16"/>
  <c r="C378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379" i="16"/>
  <c r="C380" i="16"/>
  <c r="C381" i="16"/>
  <c r="C382" i="16"/>
  <c r="C383" i="16"/>
  <c r="C384" i="16"/>
  <c r="C147" i="16"/>
  <c r="C148" i="16"/>
  <c r="C149" i="16"/>
  <c r="C150" i="16"/>
  <c r="C151" i="16"/>
  <c r="C385" i="16"/>
  <c r="C386" i="16"/>
  <c r="C387" i="16"/>
  <c r="C388" i="16"/>
  <c r="C152" i="16"/>
  <c r="C153" i="16"/>
  <c r="C389" i="16"/>
  <c r="C154" i="16"/>
  <c r="C209" i="16"/>
  <c r="C155" i="16"/>
  <c r="C210" i="16"/>
  <c r="C156" i="16"/>
  <c r="C211" i="16"/>
  <c r="C157" i="16"/>
  <c r="C158" i="16"/>
  <c r="C212" i="16"/>
  <c r="C213" i="16"/>
  <c r="C159" i="16"/>
  <c r="C214" i="16"/>
  <c r="C160" i="16"/>
  <c r="C215" i="16"/>
  <c r="C161" i="16"/>
  <c r="C216" i="16"/>
  <c r="C162" i="16"/>
  <c r="C217" i="16"/>
  <c r="C163" i="16"/>
  <c r="C218" i="16"/>
  <c r="C164" i="16"/>
  <c r="C219" i="16"/>
  <c r="C165" i="16"/>
  <c r="C166" i="16"/>
  <c r="C220" i="16"/>
  <c r="C221" i="16"/>
  <c r="C167" i="16"/>
  <c r="C222" i="16"/>
  <c r="C168" i="16"/>
  <c r="C223" i="16"/>
  <c r="C169" i="16"/>
  <c r="C224" i="16"/>
  <c r="C390" i="16"/>
  <c r="C391" i="16"/>
  <c r="C170" i="16"/>
  <c r="C225" i="16"/>
  <c r="C171" i="16"/>
  <c r="C226" i="16"/>
  <c r="C172" i="16"/>
  <c r="C227" i="16"/>
  <c r="C173" i="16"/>
  <c r="C228" i="16"/>
  <c r="C174" i="16"/>
  <c r="C229" i="16"/>
  <c r="C175" i="16"/>
  <c r="C230" i="16"/>
  <c r="C176" i="16"/>
  <c r="C231" i="16"/>
  <c r="C392" i="16"/>
  <c r="C393" i="16"/>
  <c r="C177" i="16"/>
  <c r="C178" i="16"/>
  <c r="C179" i="16"/>
  <c r="C180" i="16"/>
  <c r="C181" i="16"/>
  <c r="C182" i="16"/>
  <c r="C183" i="16"/>
  <c r="C184" i="16"/>
  <c r="C185" i="16"/>
  <c r="C189" i="16"/>
  <c r="C190" i="16"/>
  <c r="C194" i="16"/>
  <c r="C191" i="16"/>
  <c r="C192" i="16"/>
  <c r="C193" i="16"/>
  <c r="C186" i="16"/>
  <c r="C187" i="16"/>
  <c r="C188" i="16"/>
  <c r="C195" i="16"/>
  <c r="C394" i="16"/>
  <c r="C395" i="16"/>
  <c r="C196" i="16"/>
  <c r="C197" i="16"/>
  <c r="C200" i="16"/>
  <c r="C198" i="16"/>
  <c r="C199" i="16"/>
  <c r="C396" i="16"/>
  <c r="C397" i="16"/>
  <c r="C398" i="16"/>
  <c r="C399" i="16"/>
  <c r="C400" i="16"/>
  <c r="C401" i="16"/>
  <c r="C201" i="16"/>
  <c r="C202" i="16"/>
  <c r="C203" i="16"/>
  <c r="C204" i="16"/>
  <c r="C205" i="16"/>
  <c r="C206" i="16"/>
  <c r="C207" i="16"/>
  <c r="C208" i="16"/>
</calcChain>
</file>

<file path=xl/comments1.xml><?xml version="1.0" encoding="utf-8"?>
<comments xmlns="http://schemas.openxmlformats.org/spreadsheetml/2006/main">
  <authors>
    <author/>
  </authors>
  <commentList>
    <comment ref="G1" authorId="0" shapeId="0">
      <text>
        <r>
          <rPr>
            <sz val="11"/>
            <color theme="1"/>
            <rFont val="Arial"/>
            <family val="2"/>
          </rPr>
          <t>Syntax:
&lt;color code 1&gt;|&lt;limit value 1&gt;|&lt;gradient mode 1&gt;,,,&lt;color code n&gt;
Please put color code only in the last color. 
eg. #276e27|25|false,#ffcf02|75|false,#8e477d
	-Riki S</t>
        </r>
      </text>
    </comment>
    <comment ref="H1" authorId="0" shapeId="0">
      <text>
        <r>
          <rPr>
            <sz val="11"/>
            <color theme="1"/>
            <rFont val="Arial"/>
            <family val="2"/>
          </rPr>
          <t>Value: fixed OR percent
	-Riki S</t>
        </r>
      </text>
    </comment>
  </commentList>
</comments>
</file>

<file path=xl/sharedStrings.xml><?xml version="1.0" encoding="utf-8"?>
<sst xmlns="http://schemas.openxmlformats.org/spreadsheetml/2006/main" count="3547" uniqueCount="1241">
  <si>
    <t>vL.ValorSinistrosPagosAnoAtual</t>
  </si>
  <si>
    <t>vL.ValorSinistrosPagosAnoAnterior</t>
  </si>
  <si>
    <t>vL.PercValorSinistrosPagosAnoAtualVsAnterior</t>
  </si>
  <si>
    <t>vL.PercQtdSinistrosRecusadosAnoAtualVsAnterior</t>
  </si>
  <si>
    <t>vL.QtdSinistrosPagos</t>
  </si>
  <si>
    <t>vL.ValorSinistrosPagos</t>
  </si>
  <si>
    <t>vL.QtdSinistrosPagosAnoAtual</t>
  </si>
  <si>
    <t>vL.QtdSinistrosPagosAnoAnterior</t>
  </si>
  <si>
    <t>vL.PercQtdSinistrosPagosAnoAtualVsAnterior</t>
  </si>
  <si>
    <t>vL.ValorMedioSinistrosAvisados</t>
  </si>
  <si>
    <t>vL.QtdSinistrosBaixados</t>
  </si>
  <si>
    <t>vL.ValorSinistrosBaixados</t>
  </si>
  <si>
    <t>vL.QtdSinistrosRecusados</t>
  </si>
  <si>
    <t>vL.ValorSinistrosRecusados</t>
  </si>
  <si>
    <t>vL.QtdSinistrosReabertos</t>
  </si>
  <si>
    <t>vL.ValorSinistrosReabertos</t>
  </si>
  <si>
    <t>vL.QtdSinistrosAjustados</t>
  </si>
  <si>
    <t>vL.ValorSinistrosAjustados</t>
  </si>
  <si>
    <t>vL.QtdSinistrosAvisadosRamo</t>
  </si>
  <si>
    <t>vL.QtdSinistrosAvisadosAnoAtual</t>
  </si>
  <si>
    <t>vL.QtdSinistrosAvisadosAnoAnterior</t>
  </si>
  <si>
    <t>vL.PercQtdSinistrosAvisadosAnoAtualVsAnterior</t>
  </si>
  <si>
    <t>vL.QtdSinistrosPagosAcumulado</t>
  </si>
  <si>
    <t>vL.ValorSinistrosPagosAcumulado</t>
  </si>
  <si>
    <t>vL.QtdSinistrosPagosDPeHO</t>
  </si>
  <si>
    <t>vL.ValorSinistrosPagosDPeHO</t>
  </si>
  <si>
    <t>vL.QtdSinistrosPagosAcumuladoDPeHO</t>
  </si>
  <si>
    <t>vL.QtdSinistrosBaixadosAnoAtual</t>
  </si>
  <si>
    <t>vL.QtdSinistrosBaixadosAnoAnterior</t>
  </si>
  <si>
    <t>vL.PercQtdSinistrosBaixadosAnoAtualVsAnterior</t>
  </si>
  <si>
    <t>vL.QtdSinistrosRecusadosAnoAtual</t>
  </si>
  <si>
    <t>vL.QtdSinistrosRecusadosAnoAnterior</t>
  </si>
  <si>
    <t>vL.ValorSinistrosBaixadosERecusadosAcumuladoDPeHO</t>
  </si>
  <si>
    <t>vL.ValorSinistrosBaixadosAcumulado</t>
  </si>
  <si>
    <t>vL.ValorSinistrosRecusadosAcumulado</t>
  </si>
  <si>
    <t>vL.ValorSinistrosBaixadosERecusadosAcumulado</t>
  </si>
  <si>
    <t>vL.QtdSinistrosReabertosAnoAtual</t>
  </si>
  <si>
    <t>vL.QtdSinistrosReabertosAnoAnterior</t>
  </si>
  <si>
    <t>vL.PercQtdSinistrosReabertosAnoAtualVsAnterior</t>
  </si>
  <si>
    <t>vL.ValorSinistrosReabertosAnoAtual</t>
  </si>
  <si>
    <t>vL.ValorSinistrosReabertosAnoAnterior</t>
  </si>
  <si>
    <t>vL.PercValorSinistrosReabertosAnoAtualVsAnterior</t>
  </si>
  <si>
    <t>vL.QtdSinistrosAvisados</t>
  </si>
  <si>
    <t>vL.ValorSinistrosAvisados</t>
  </si>
  <si>
    <t>vL.ValorSinistrosAvisadosAnoAtual</t>
  </si>
  <si>
    <t>vL.ValorSinistrosAvisadosAnoAnterior</t>
  </si>
  <si>
    <t>vL.PercValorSinistrosAvisadosAnoAtualVsAnterior</t>
  </si>
  <si>
    <t>Medida Simples</t>
  </si>
  <si>
    <t>Média</t>
  </si>
  <si>
    <t>Nome Medida</t>
  </si>
  <si>
    <t>Ano</t>
  </si>
  <si>
    <t>Escritório Regional</t>
  </si>
  <si>
    <t>Mês</t>
  </si>
  <si>
    <t>Nome do Ramo</t>
  </si>
  <si>
    <t>Número Sinistro</t>
  </si>
  <si>
    <t>Tipo de Sinistro</t>
  </si>
  <si>
    <t>UF do Escritório Regional</t>
  </si>
  <si>
    <t>vL.PercValorSinistrosBaixadosAnoAtualVsAnterior</t>
  </si>
  <si>
    <t>vL.ValorSinistrosBaixadosAnoAnterior</t>
  </si>
  <si>
    <t>vL.ValorSinistrosBaixadosAnoAtual</t>
  </si>
  <si>
    <t>vL.ValorSinistrosRecusadosAnoAnterior</t>
  </si>
  <si>
    <t>vL.ValorSinistrosRecusadosAnoAtual</t>
  </si>
  <si>
    <t>vL.PercValorSinistrosRecusadosAnoAtualVsAnterior</t>
  </si>
  <si>
    <t>vL.QtdSinistrosBaixadosERecusadosAnoAtual</t>
  </si>
  <si>
    <t>vL.QtdSinistrosBaixadosERecusadosAnoAnterior</t>
  </si>
  <si>
    <t>vL.PercQtdSinistrosBaixadosERecusadosAnoAtualVsAnterior</t>
  </si>
  <si>
    <t>vL.QtdSinistrosAjustadosAcumulado</t>
  </si>
  <si>
    <t>vL.QtdSinistrosRecusadosAcumulado</t>
  </si>
  <si>
    <t>vL.QtdSinistrosBaixadosAcumulado</t>
  </si>
  <si>
    <t>vL.QtdSinistrosAvisadosAcumulado</t>
  </si>
  <si>
    <t>vL.QtdSinistrosReabertosAcumulado</t>
  </si>
  <si>
    <t>vL.PercQtdSinistrosAjustadosAnoAtualVsAnterior</t>
  </si>
  <si>
    <t>vL.PercValorSinistrosAjustadosAnoAtualVsAnterior</t>
  </si>
  <si>
    <t>vL.QtdSinistrosAjustadosAnoAnterior</t>
  </si>
  <si>
    <t>vL.QtdSinistrosAjustadosAnoAtual</t>
  </si>
  <si>
    <t>vL.ValorMedioSinistrosAjustados</t>
  </si>
  <si>
    <t>vL.ValorSinistrosAjustadosAnoAnterior</t>
  </si>
  <si>
    <t>vL.ValorSinistrosAjustadosAnoAtual</t>
  </si>
  <si>
    <t>vL.ValorMedioSinistrosBaixados</t>
  </si>
  <si>
    <t>vL.ValorMedioSinistrosBaixadosERecusados</t>
  </si>
  <si>
    <t>vL.ValorMedioSinistrosReabertos</t>
  </si>
  <si>
    <t>vL.ValorMedioSinistrosPagos</t>
  </si>
  <si>
    <t>vL.ValorMedioSinistrosRecusados</t>
  </si>
  <si>
    <t>vL.ValorSinistrosReabertosAcumulado</t>
  </si>
  <si>
    <t>vL.ValorSinistrosAvisadosAcumulado</t>
  </si>
  <si>
    <t>vL.ValorSinistrosAjustadosAcumulado</t>
  </si>
  <si>
    <t>Chave Fato Calendario</t>
  </si>
  <si>
    <t>Data Movimento</t>
  </si>
  <si>
    <t>Mês/Ano</t>
  </si>
  <si>
    <t>Nome Grupo Cobertura</t>
  </si>
  <si>
    <t>Nome UF de Ocorrência do Sinistro</t>
  </si>
  <si>
    <t>Tipo de Estimativa</t>
  </si>
  <si>
    <t>Tipo de Movimento</t>
  </si>
  <si>
    <t>Tipo de Produto</t>
  </si>
  <si>
    <t xml:space="preserve"> Dimensão</t>
  </si>
  <si>
    <t xml:space="preserve"> Grupo de Dimensão</t>
  </si>
  <si>
    <t xml:space="preserve"> $Ordem Visualizar Dimensão</t>
  </si>
  <si>
    <t>Grupo de Medida</t>
  </si>
  <si>
    <t>$Nome da Variavel</t>
  </si>
  <si>
    <t>$Conjunto de Exibição</t>
  </si>
  <si>
    <t>$Formato Resultado</t>
  </si>
  <si>
    <t>$Ordem Visualização Medida</t>
  </si>
  <si>
    <t>vL.ValorCurvaABC01SinistrosPagos</t>
  </si>
  <si>
    <t>Curva ABC</t>
  </si>
  <si>
    <t>vL.ValorCurvaABC01SinistrosBaixados</t>
  </si>
  <si>
    <t>vL.ValorCurvaABC01SinistrosAvisados</t>
  </si>
  <si>
    <t>vL.ValorCurvaABC01SinistrosReabertos</t>
  </si>
  <si>
    <t>vL.ValorCurvaABC01SinistrosAjustados</t>
  </si>
  <si>
    <t>vL.ValorCurvaABC01SinistrosRecusados</t>
  </si>
  <si>
    <t>vL.ValorCurvaABC02SinistrosBaixados</t>
  </si>
  <si>
    <t>vL.ValorCurvaABC02SinistrosAvisados</t>
  </si>
  <si>
    <t>vL.ValorCurvaABC02SinistrosReabertos</t>
  </si>
  <si>
    <t>vL.ValorCurvaABC02SinistrosAjustados</t>
  </si>
  <si>
    <t>vL.ValorCurvaABC02SinistrosPagos</t>
  </si>
  <si>
    <t>vL.ValorCurvaABC02SinistrosRecusados</t>
  </si>
  <si>
    <t>vL.ValorCurvaABC03SinistrosBaixados</t>
  </si>
  <si>
    <t>vL.ValorCurvaABC03SinistrosAvisados</t>
  </si>
  <si>
    <t>vL.ValorCurvaABC03SinistrosReabertos</t>
  </si>
  <si>
    <t>vL.ValorCurvaABC03SinistrosAjustados</t>
  </si>
  <si>
    <t>vL.ValorCurvaABC03SinistrosPagos</t>
  </si>
  <si>
    <t>vL.ValorCurvaABC03SinistrosRecusados</t>
  </si>
  <si>
    <t>vL.ValorCurvaABC01SinistrosBaixadosERecusados</t>
  </si>
  <si>
    <t>vL.ValorCurvaABC02SinistrosBaixadosERecusados</t>
  </si>
  <si>
    <t>vL.ValorCurvaABC03SinistrosBaixadosERecusados</t>
  </si>
  <si>
    <t>vL.QtdSinistrosSexoFemininoBaixados</t>
  </si>
  <si>
    <t>vL.QtdSinistrosSexoFemininoAvisados</t>
  </si>
  <si>
    <t>vL.QtdSinistrosSexoFemininoReabertos</t>
  </si>
  <si>
    <t>vL.QtdSinistrosSexoFemininoAjustados</t>
  </si>
  <si>
    <t>vL.QtdSinistrosSexoFemininoPagos</t>
  </si>
  <si>
    <t>vL.QtdSinistrosSexoFemininoRecusados</t>
  </si>
  <si>
    <t>vL.QtdPercSinistrosSexoFemininoBaixados</t>
  </si>
  <si>
    <t>vL.QtdPercSinistrosSexoFemininoAvisados</t>
  </si>
  <si>
    <t>vL.QtdPercSinistrosSexoFemininoReabertos</t>
  </si>
  <si>
    <t>vL.QtdPercSinistrosSexoFemininoAjustados</t>
  </si>
  <si>
    <t>vL.QtdPercSinistrosSexoFemininoPagos</t>
  </si>
  <si>
    <t>vL.QtdPercSinistrosSexoFemininoRecusados</t>
  </si>
  <si>
    <t>vL.ValorSinistrosSexoFemininoBaixados</t>
  </si>
  <si>
    <t>vL.ValorSinistrosSexoFemininoAvisados</t>
  </si>
  <si>
    <t>vL.ValorSinistrosSexoFemininoReabertos</t>
  </si>
  <si>
    <t>vL.ValorSinistrosSexoFemininoAjustados</t>
  </si>
  <si>
    <t>vL.ValorSinistrosSexoFemininoPagos</t>
  </si>
  <si>
    <t>vL.ValorSinistrosSexoFemininoRecusados</t>
  </si>
  <si>
    <t>vL.ValorPercSinistrosSexoFemininoBaixados</t>
  </si>
  <si>
    <t>vL.ValorPercSinistrosSexoFemininoAvisados</t>
  </si>
  <si>
    <t>vL.ValorPercSinistrosSexoFemininoReabertos</t>
  </si>
  <si>
    <t>vL.ValorPercSinistrosSexoFemininoAjustados</t>
  </si>
  <si>
    <t>vL.ValorPercSinistrosSexoFemininoPagos</t>
  </si>
  <si>
    <t>vL.ValorPercSinistrosSexoFemininoRecusados</t>
  </si>
  <si>
    <t>vL.QtdSinistrosSexoMasculinoBaixados</t>
  </si>
  <si>
    <t>vL.QtdSinistrosSexoMasculinoAvisados</t>
  </si>
  <si>
    <t>vL.QtdSinistrosSexoMasculinoReabertos</t>
  </si>
  <si>
    <t>vL.QtdSinistrosSexoMasculinoAjustados</t>
  </si>
  <si>
    <t>vL.QtdSinistrosSexoMasculinoPagos</t>
  </si>
  <si>
    <t>vL.QtdSinistrosSexoMasculinoRecusados</t>
  </si>
  <si>
    <t>vL.QtdPercSinistrosSexoMasculinoBaixados</t>
  </si>
  <si>
    <t>vL.QtdPercSinistrosSexoMasculinoAvisados</t>
  </si>
  <si>
    <t>vL.QtdPercSinistrosSexoMasculinoReabertos</t>
  </si>
  <si>
    <t>vL.QtdPercSinistrosSexoMasculinoAjustados</t>
  </si>
  <si>
    <t>vL.QtdPercSinistrosSexoMasculinoPagos</t>
  </si>
  <si>
    <t>vL.QtdPercSinistrosSexoMasculinoRecusados</t>
  </si>
  <si>
    <t>vL.ValorSinistrosSexoMasculinoBaixados</t>
  </si>
  <si>
    <t>vL.ValorSinistrosSexoMasculinoAvisados</t>
  </si>
  <si>
    <t>vL.ValorSinistrosSexoMasculinoReabertos</t>
  </si>
  <si>
    <t>vL.ValorSinistrosSexoMasculinoAjustados</t>
  </si>
  <si>
    <t>vL.ValorSinistrosSexoMasculinoPagos</t>
  </si>
  <si>
    <t>vL.ValorSinistrosSexoMasculinoRecusados</t>
  </si>
  <si>
    <t>vL.ValorPercSinistrosSexoMasculinoBaixados</t>
  </si>
  <si>
    <t>vL.ValorPercSinistrosSexoMasculinoAvisados</t>
  </si>
  <si>
    <t>vL.ValorPercSinistrosSexoMasculinoReabertos</t>
  </si>
  <si>
    <t>vL.ValorPercSinistrosSexoMasculinoAjustados</t>
  </si>
  <si>
    <t>vL.ValorPercSinistrosSexoMasculinoPagos</t>
  </si>
  <si>
    <t>vL.ValorPercSinistrosSexoMasculinoRecusados</t>
  </si>
  <si>
    <t>Ano/Mês</t>
  </si>
  <si>
    <t>vL.QtdSinistrosSexoOutrosAvisados</t>
  </si>
  <si>
    <t>vL.QtdPercSinistrosSexoOutrosAvisados</t>
  </si>
  <si>
    <t>vL.ValorSinistrosSexoOutrosAvisados</t>
  </si>
  <si>
    <t>vL.ValorPercSinistrosSexoOutrosAvisados</t>
  </si>
  <si>
    <t>vL.QtdSinistrosSexoOutrosBaixados</t>
  </si>
  <si>
    <t>vL.QtdPercSinistrosSexoOutrosBaixados</t>
  </si>
  <si>
    <t>vL.ValorSinistrosSexoOutrosBaixados</t>
  </si>
  <si>
    <t>vL.ValorPercSinistrosSexoOutrosBaixados</t>
  </si>
  <si>
    <t>vL.QtdSinistrosSexoOutrosPagos</t>
  </si>
  <si>
    <t>vL.QtdPercSinistrosSexoOutrosPagos</t>
  </si>
  <si>
    <t>vL.ValorSinistrosSexoOutrosPagos</t>
  </si>
  <si>
    <t>vL.ValorPercSinistrosSexoOutrosPagos</t>
  </si>
  <si>
    <t>vL.QtdSinistrosSexoOutrosReabertos</t>
  </si>
  <si>
    <t>vL.QtdPercSinistrosSexoOutrosReabertos</t>
  </si>
  <si>
    <t>vL.ValorSinistrosSexoOutrosReabertos</t>
  </si>
  <si>
    <t>vL.ValorPercSinistrosSexoOutrosReabertos</t>
  </si>
  <si>
    <t>vL.QtdSinistrosSexoOutrosRecusados</t>
  </si>
  <si>
    <t>vL.QtdPercSinistrosSexoOutrosRecusados</t>
  </si>
  <si>
    <t>vL.ValorSinistrosSexoOutrosRecusados</t>
  </si>
  <si>
    <t>vL.ValorPercSinistrosSexoOutrosRecusados</t>
  </si>
  <si>
    <t>vL.QtdSinistrosSexoFemininoBaixadosERecusados</t>
  </si>
  <si>
    <t>vL.QtdPercSinistrosSexoFemininoBaixadosERecusados</t>
  </si>
  <si>
    <t>vL.ValorSinistrosSexoFemininoBaixadosERecusados</t>
  </si>
  <si>
    <t>vL.ValorPercSinistrosSexoFemininoBaixadosERecusados</t>
  </si>
  <si>
    <t>vL.QtdSinistrosSexoMasculinoBaixadosERecusados</t>
  </si>
  <si>
    <t>vL.QtdPercSinistrosSexoMasculinoBaixadosERecusados</t>
  </si>
  <si>
    <t>vL.ValorSinistrosSexoMasculinoBaixadosERecusados</t>
  </si>
  <si>
    <t>vL.ValorPercSinistrosSexoMasculinoBaixadosERecusados</t>
  </si>
  <si>
    <t>vL.QtdSinistrosSexoOutrosBaixadosERecusados</t>
  </si>
  <si>
    <t>vL.QtdPercSinistrosSexoOutrosBaixadosERecusados</t>
  </si>
  <si>
    <t>vL.ValorSinistrosSexoOutrosBaixadosERecusados</t>
  </si>
  <si>
    <t>vL.ValorPercSinistrosSexoOutrosBaixadosERecusados</t>
  </si>
  <si>
    <t>vL.QtdSinistrosBaixadosERecusadosAcumulado</t>
  </si>
  <si>
    <t>vL.QtdSinistrosBaixadosERecusadosDPeHO</t>
  </si>
  <si>
    <t>vL.QtdSinistrosBaixadosERecusadosAcumuladoDPeHO</t>
  </si>
  <si>
    <t>vL.ValorSinistrosBaixadosERecusadosDPeHO</t>
  </si>
  <si>
    <t>vL.QtdSinistrosBaixadosERecusados</t>
  </si>
  <si>
    <t>vL.ValorSinistrosBaixadosERecusados</t>
  </si>
  <si>
    <t>vL.ValorSinistrosBaixadosERecusadosAnoAtual</t>
  </si>
  <si>
    <t>vL.ValorSinistrosBaixadosERecusadosAnoAnterior</t>
  </si>
  <si>
    <t>vL.PercValorSinistrosBaixadosERecusadosAnoAtualVsAnterior</t>
  </si>
  <si>
    <t>$Field</t>
  </si>
  <si>
    <t>$Table</t>
  </si>
  <si>
    <t>procurarHighUsers</t>
  </si>
  <si>
    <t>procurarNoMerge</t>
  </si>
  <si>
    <t>Padrao</t>
  </si>
  <si>
    <t>vL.QtdSinistrosPadraoAcumulado</t>
  </si>
  <si>
    <t>vL.ValorSinistrosPadraoAcumulado</t>
  </si>
  <si>
    <t>vL.QtdSinistrosSexoFemininoPadrao</t>
  </si>
  <si>
    <t>vL.QtdPercSinistrosSexoFemininoPadrao</t>
  </si>
  <si>
    <t>vL.ValorSinistrosSexoFemininoPadrao</t>
  </si>
  <si>
    <t>vL.ValorPercSinistrosSexoFemininoPadrao</t>
  </si>
  <si>
    <t>vL.QtdSinistrosSexoMasculinoPadrao</t>
  </si>
  <si>
    <t>vL.QtdPercSinistrosSexoMasculinoPadrao</t>
  </si>
  <si>
    <t>vL.ValorSinistrosSexoMasculinoPadrao</t>
  </si>
  <si>
    <t>vL.ValorPercSinistrosSexoMasculinoPadrao</t>
  </si>
  <si>
    <t>vL.QtdSinistrosSexoOutrosPadrao</t>
  </si>
  <si>
    <t>vL.QtdPercSinistrosSexoOutrosPadrao</t>
  </si>
  <si>
    <t>vL.ValorSinistrosSexoOutrosPadrao</t>
  </si>
  <si>
    <t>vL.ValorPercSinistrosSexoOutrosPadrao</t>
  </si>
  <si>
    <t>Calculo - media</t>
  </si>
  <si>
    <t>vL.ContaPadrao</t>
  </si>
  <si>
    <t>vL.ContaTotalPadrao</t>
  </si>
  <si>
    <t>vL.PercTotalConta</t>
  </si>
  <si>
    <t>vL.Media</t>
  </si>
  <si>
    <t>vL.Mediana</t>
  </si>
  <si>
    <t>vL.Moda</t>
  </si>
  <si>
    <t>vL.1Quartil</t>
  </si>
  <si>
    <t>vL.3Quartil</t>
  </si>
  <si>
    <t>vL.IQR_Intervalo_Semi_interquartil</t>
  </si>
  <si>
    <t>vL.LayerSuperior</t>
  </si>
  <si>
    <t>vL.LayerInferior</t>
  </si>
  <si>
    <t>vL.MediaSemQ1eQ3</t>
  </si>
  <si>
    <t>vL.ModaSemQ1eQ3</t>
  </si>
  <si>
    <t>vL.MedianaSemQ1eQ3</t>
  </si>
  <si>
    <t>vL.MediaRankContaSemQ1eQ3</t>
  </si>
  <si>
    <t>vL.SomaPadrao</t>
  </si>
  <si>
    <t>vL.SomaTotalPadrao</t>
  </si>
  <si>
    <t>vL.PercTotalSoma</t>
  </si>
  <si>
    <t>vL.ContaPadraoAnoAtual</t>
  </si>
  <si>
    <t>vL.ContaPadraoAnoAnterior</t>
  </si>
  <si>
    <t>vL.PercContaPadraoAnoAtualVsAnterior</t>
  </si>
  <si>
    <t>vL.SomaPadraoAnoAtual</t>
  </si>
  <si>
    <t>vL.SomaPadraoAnoAnterior</t>
  </si>
  <si>
    <t>vL.PercSomaPadraoAnoAtualVsAnterior</t>
  </si>
  <si>
    <t>vL.SomaCurvaABC01Padrao</t>
  </si>
  <si>
    <t>vL.SomaCurvaABC02Padrao</t>
  </si>
  <si>
    <t>vL.SomaCurvaABC03Padrao</t>
  </si>
  <si>
    <t>vL.ContaCurvaABC01Padrao</t>
  </si>
  <si>
    <t>vL.ContaCurvaABC02Padrao</t>
  </si>
  <si>
    <t>vL.ContaCurvaABC03Padrao</t>
  </si>
  <si>
    <t>% QTD Total</t>
  </si>
  <si>
    <t>Mediana</t>
  </si>
  <si>
    <t>Moda</t>
  </si>
  <si>
    <t>Q1</t>
  </si>
  <si>
    <t>Q3</t>
  </si>
  <si>
    <t>IQR Intervalo Semi Interquartil</t>
  </si>
  <si>
    <t>L Sup</t>
  </si>
  <si>
    <t>L Inf</t>
  </si>
  <si>
    <t>Media S/ Q1 e Q3</t>
  </si>
  <si>
    <t>Moda S/ Q1 e Q3</t>
  </si>
  <si>
    <t>Mediana S/ Q1 e Q3</t>
  </si>
  <si>
    <t>Média Rank Qtd s/ Q1 e Q3</t>
  </si>
  <si>
    <t>Soma</t>
  </si>
  <si>
    <t>Contar</t>
  </si>
  <si>
    <t>Contar Ano Atual</t>
  </si>
  <si>
    <t>Contar Ano Anterior</t>
  </si>
  <si>
    <t>Soma Ano Atual</t>
  </si>
  <si>
    <t>Soma Ano Anterior</t>
  </si>
  <si>
    <t>% Soma Ano Atual x Anterior</t>
  </si>
  <si>
    <t>% Contar Ano Atual x Anterior</t>
  </si>
  <si>
    <t>Soma Pareto 03</t>
  </si>
  <si>
    <t>Soma Pareto 02</t>
  </si>
  <si>
    <t>Soma Pareto 01</t>
  </si>
  <si>
    <t>Contar Pareto 01</t>
  </si>
  <si>
    <t>Contar Pareto 02</t>
  </si>
  <si>
    <t>Contar Pareto 03</t>
  </si>
  <si>
    <t>$Tipo Calculo da Dimensão</t>
  </si>
  <si>
    <t>Calculo - contar</t>
  </si>
  <si>
    <t>Outlier</t>
  </si>
  <si>
    <t>Comparação entre Anos</t>
  </si>
  <si>
    <t>Comparação entre Anos %</t>
  </si>
  <si>
    <t>% Soma Total</t>
  </si>
  <si>
    <t>Calculo - Filtro</t>
  </si>
  <si>
    <t>Media</t>
  </si>
  <si>
    <t>Contar %</t>
  </si>
  <si>
    <t>vL.MaxAno</t>
  </si>
  <si>
    <t>vL.MaxAnoAnterior</t>
  </si>
  <si>
    <t>vL.PercQtdSinistrosPersonalizavelAnoAtualVsAnterior</t>
  </si>
  <si>
    <t>vL.PercValorSinistrosPersonalizavelAnoAtualVsAnterior</t>
  </si>
  <si>
    <t>vL.DinamicaMedSimples01</t>
  </si>
  <si>
    <t>vL.DinamicaMedSimples02</t>
  </si>
  <si>
    <t>vL.ClassificarDinamicaMedSimplesPrimeiro</t>
  </si>
  <si>
    <t>vL.CorMapaDinamico</t>
  </si>
  <si>
    <t>vL.Periodo</t>
  </si>
  <si>
    <t>vL.DimensaoDinamica_Ordem</t>
  </si>
  <si>
    <t>vL.DimensaoDinamicaParaCalculo</t>
  </si>
  <si>
    <t>vL.DimensaoDinamicaParaCalculoTipo</t>
  </si>
  <si>
    <t>vL.LabelDimensaoDinamica_Ordem</t>
  </si>
  <si>
    <t>vL.ExprDinamicaParametro</t>
  </si>
  <si>
    <t>vL.DinamicaSexoFeminino</t>
  </si>
  <si>
    <t>vL.DinamicaSexoFemininoPerc</t>
  </si>
  <si>
    <t>vL.DinamicaSexoMasculino</t>
  </si>
  <si>
    <t>vL.DinamicaSexoMasculinoPerc</t>
  </si>
  <si>
    <t>vL.DinamicaSexoOutros</t>
  </si>
  <si>
    <t>vL.DinamicaSexoOutrosPerc</t>
  </si>
  <si>
    <t>vL.LabelDinamicaMedSimples01</t>
  </si>
  <si>
    <t>vL.LabelDinamicaMedSimples02</t>
  </si>
  <si>
    <t>vL.LabelQtdDinamicaPercComparaAnoPrimeira</t>
  </si>
  <si>
    <t>vL.LabelQtdDinamicaComparaAnoPrimeira</t>
  </si>
  <si>
    <t>vL.LabelQtdDinamicaAcumuladoPrimeiro</t>
  </si>
  <si>
    <t>vL.LabelQtdDinamicaMedSimplesPrimeiro</t>
  </si>
  <si>
    <t>vL.LabelQtdDinamicaComparaAnoSegunda</t>
  </si>
  <si>
    <t>vL.LabelQtdDinamicaMedSimplesSegundo</t>
  </si>
  <si>
    <t>vL.LabelExprDinamicaParametro</t>
  </si>
  <si>
    <t>vL.LabelDinamicaSexoFeminino</t>
  </si>
  <si>
    <t>vL.LabelDinamicaSexoFemininoPerc</t>
  </si>
  <si>
    <t>vL.LabelDinamicaMasculinoQtd_x_vlr</t>
  </si>
  <si>
    <t>vL.LabelDinamicaSexoMasculinoPerc</t>
  </si>
  <si>
    <t>vL.LabelDinamicaSexoOutros</t>
  </si>
  <si>
    <t>vL.LabelDinamicaSexoOutrosPerc</t>
  </si>
  <si>
    <t>vL.LabelDinamicoPercComparaAnoPrimeiro</t>
  </si>
  <si>
    <t>vL.LabelDinamicoComparaAnoPrimeiro</t>
  </si>
  <si>
    <t>vL.LabelValorDinamicoPercComparaAnoPrimeiro</t>
  </si>
  <si>
    <t>vL.LabelValorDinamicoAcumuladoPrimeiro</t>
  </si>
  <si>
    <t>vL.LabelValorDinamicoComparaAnoPrimeiro</t>
  </si>
  <si>
    <t>vL.LabelValorDinamicoCurvaABC01</t>
  </si>
  <si>
    <t>vL.LabelValorDinamicoCurvaABC02</t>
  </si>
  <si>
    <t>vL.LabelValorDinamicoCurvaABC03</t>
  </si>
  <si>
    <t>vL.LabelValorDinamicoMediaPrimeiro</t>
  </si>
  <si>
    <t>vL.LabelValorDinamicoMedSimplesPrimeiro</t>
  </si>
  <si>
    <t>vL.LabelDinamicoComparaAnoSegundo</t>
  </si>
  <si>
    <t>vL.LabelValorDinamicoComparaAnoSegundo</t>
  </si>
  <si>
    <t>vL.LabelValorDinamicoMedSimplesSegundo</t>
  </si>
  <si>
    <t>vL.LabelExprDinamicaOrdem</t>
  </si>
  <si>
    <t>vL.LabelExprDinamicaOrdem01</t>
  </si>
  <si>
    <t>vL.LabelExprDinamicaOrdem02</t>
  </si>
  <si>
    <t>vL.LabelExprDinamicaOrdem03</t>
  </si>
  <si>
    <t>vL.LabelExprDinamicaOrdem04</t>
  </si>
  <si>
    <t>vL.LabelExprDinamicaOrdem05</t>
  </si>
  <si>
    <t>vL.LabelExprDinamicaOrdem06</t>
  </si>
  <si>
    <t>vL.LabelExprDinamicaOrdem07</t>
  </si>
  <si>
    <t>vL.LabelExprDinamicaOrdem08</t>
  </si>
  <si>
    <t>vL.LabelExprDinamicaOrdem09</t>
  </si>
  <si>
    <t>vL.LabelExprDinamicaOrdem10</t>
  </si>
  <si>
    <t>vL.LabelExprDinamicaOrdem11</t>
  </si>
  <si>
    <t>vL.LabelExprDinamicaOrdem12</t>
  </si>
  <si>
    <t>vL.LabelQtdDinamicaSexoFemininoPercNumero</t>
  </si>
  <si>
    <t>vL.LabelQtdDinamicaSexoFemininoNumero</t>
  </si>
  <si>
    <t>vL.LabelQtdDinamicaSexoMasculinoPercNumero</t>
  </si>
  <si>
    <t>vL.LabelQtdDinamicaSexoMasculinoNumero</t>
  </si>
  <si>
    <t>vL.LabelQtdDinamicaSexoOutrosPercNumero</t>
  </si>
  <si>
    <t>vL.LabelQtdDinamicaSexoOutrosNumero</t>
  </si>
  <si>
    <t>vL.LabelValorDinamicaSexoFemininoPercMoeda</t>
  </si>
  <si>
    <t>vL.LabelValorDinamicaSexoFemininoMoeda</t>
  </si>
  <si>
    <t>vL.LabelValorDinamicaSexoMasculinoPercMoeda</t>
  </si>
  <si>
    <t>vL.LabelValorDinamicaSexoMasculinoMoeda</t>
  </si>
  <si>
    <t>vL.LabelValorDinamicaSexoOutrosPercMoeda</t>
  </si>
  <si>
    <t>vL.LabelValorDinamicaSexoOutrosMoeda</t>
  </si>
  <si>
    <t>$(vL.ExprDinamicaParametro(Medida Simples</t>
  </si>
  <si>
    <t>vL.ExprClassificaoDaDimensao01</t>
  </si>
  <si>
    <t>vL.ExprClassificaoDaDimensao02</t>
  </si>
  <si>
    <t>vL.QtdDinamicaPercComparaAnoPrimeira</t>
  </si>
  <si>
    <t>vL.QtdDinamicaComparaAnoPrimeira</t>
  </si>
  <si>
    <t>vL.DimensaoDinamicaPrimeira</t>
  </si>
  <si>
    <t>vL.LabelDimensaoDinamicaPrimeira</t>
  </si>
  <si>
    <t>vL.ExprDinamicaOrdem</t>
  </si>
  <si>
    <t>vL.ExprDinamicaOrdem01</t>
  </si>
  <si>
    <t>vL.ExprDinamicaOrdem02</t>
  </si>
  <si>
    <t>vL.ExprDinamicaOrdem03</t>
  </si>
  <si>
    <t>vL.ExprDinamicaOrdem04</t>
  </si>
  <si>
    <t>vL.ExprDinamicaOrdem05</t>
  </si>
  <si>
    <t>vL.ExprDinamicaOrdem06</t>
  </si>
  <si>
    <t>vL.ExprDinamicaOrdem07</t>
  </si>
  <si>
    <t>vL.ExprDinamicaOrdem08</t>
  </si>
  <si>
    <t>vL.ExprDinamicaOrdem09</t>
  </si>
  <si>
    <t>vL.ExprDinamicaOrdem10</t>
  </si>
  <si>
    <t>vL.ExprDinamicaOrdem11</t>
  </si>
  <si>
    <t>vL.ExprDinamicaOrdem12</t>
  </si>
  <si>
    <t>vL.ExprDinamicaPorClassificacao</t>
  </si>
  <si>
    <t>vL.ExprDinamica_Tp_Formato_Ordem01</t>
  </si>
  <si>
    <t>vL.ExprDinamica_Tp_Formato_Ordem01Backup</t>
  </si>
  <si>
    <t>vL.ExprDinamica_Tp_Formato_Ordem01Formato</t>
  </si>
  <si>
    <t>vL.LabelExprDinamica_Tp_Formato_Ordem01</t>
  </si>
  <si>
    <t>vL.QtdDinamicaAcumuladoPrimeiro</t>
  </si>
  <si>
    <t>vL.ExprDinamica_Tp_Formato_Ordem01Sexo</t>
  </si>
  <si>
    <t>vL.LabelExprDinamica_Tp_Formato_Ordem01Sexo</t>
  </si>
  <si>
    <t>vL.QtdDinamicaMedSimplesPrimeiro</t>
  </si>
  <si>
    <t>vL.DinamicoPercComparaAnoPrimeiro</t>
  </si>
  <si>
    <t>vL.DinamicoComparaAnoPrimeiro</t>
  </si>
  <si>
    <t>vL.ValorDinamicoPercComparaAnoPrimeiro</t>
  </si>
  <si>
    <t>vL.ValorDinamicoAcumuladoPrimeiro</t>
  </si>
  <si>
    <t>vL.ValorDinamicoComparaAnoPrimeiro</t>
  </si>
  <si>
    <t>vL.ValorDinamicoCurvaABC01</t>
  </si>
  <si>
    <t>vL.ValorDinamicoCurvaABC02</t>
  </si>
  <si>
    <t>vL.ValorDinamicoCurvaABC03</t>
  </si>
  <si>
    <t>vL.ValorDinamicoMediaPrimeiro</t>
  </si>
  <si>
    <t>vL.ValorDinamicoMedSimplesPrimeiro</t>
  </si>
  <si>
    <t>vL.QtdPercSinistrosSexoOutrosAjustados</t>
  </si>
  <si>
    <t>vL.QtdPercSinistrosSexoPadrao</t>
  </si>
  <si>
    <t>vL.QtdPercSinistrosSexoPersonalizavel</t>
  </si>
  <si>
    <t>vL.QtdSinistrosSexoOutrosAjustados</t>
  </si>
  <si>
    <t>vL.QtdSinistrosSexoPadrao</t>
  </si>
  <si>
    <t>vL.QtdSinistrosSexoPersonalizavel</t>
  </si>
  <si>
    <t>vL.QtdSinistrosPadraoDPeHO</t>
  </si>
  <si>
    <t>vL.QtdSinistrosPadraoAcumuladoDPeHO</t>
  </si>
  <si>
    <t>vL.QtdSinistrosPersonalizavel</t>
  </si>
  <si>
    <t>vL.QtdSinistrosPersonalizavelAcumulado</t>
  </si>
  <si>
    <t>vL.QtdSinistrosPersonalizavelDPeHO</t>
  </si>
  <si>
    <t>vL.QtdSinistrosPersonalizavelAcumuladoDPeHO</t>
  </si>
  <si>
    <t>vL.QtdSinistrosPersonalizavelAnoAnterior</t>
  </si>
  <si>
    <t>vL.QtdSinistrosPersonalizavelAnoAtual</t>
  </si>
  <si>
    <t>vL.QtdDinamicaSexoFemininoPercNumero</t>
  </si>
  <si>
    <t>vL.QtdDinamicaSexoFemininoNumero</t>
  </si>
  <si>
    <t>vL.QtdDinamicaSexoMasculinoPercNumero</t>
  </si>
  <si>
    <t>vL.QtdDinamicaSexoMasculinoNumero</t>
  </si>
  <si>
    <t>vL.QtdDinamicaSexoOutrosPercNumero</t>
  </si>
  <si>
    <t>vL.QtdDinamicaSexoOutrosNumero</t>
  </si>
  <si>
    <t>vL.DimensaoDinamicaQuarta</t>
  </si>
  <si>
    <t>vL.LabelDimensaoDinamicaQuarta</t>
  </si>
  <si>
    <t>vL.QtdDinamicaComparaAnoSegunda</t>
  </si>
  <si>
    <t>vL.DimensaoDinamicaSegunda</t>
  </si>
  <si>
    <t>vL.LabelDimensaoDinamicaSegunda</t>
  </si>
  <si>
    <t>vL.QtdDinamicaMedSimplesSegundo</t>
  </si>
  <si>
    <t>vL.DinamicoComparaAnoSegundo</t>
  </si>
  <si>
    <t>vL.ValorDinamicoComparaAnoSegundo</t>
  </si>
  <si>
    <t>vL.ValorDinamicoMedSimplesSegundo</t>
  </si>
  <si>
    <t>vL.DimensaoDinamicaTerceira</t>
  </si>
  <si>
    <t>vL.LabelDimensaoDinamicaTerceira</t>
  </si>
  <si>
    <t>vL.TituloDinamico_Titulo_Grupo</t>
  </si>
  <si>
    <t>vL.TopContar</t>
  </si>
  <si>
    <t>vL.ValorPercSinistrosSexoPadrao</t>
  </si>
  <si>
    <t>vL.ValorPercSinistrosSexoPersonalizavel</t>
  </si>
  <si>
    <t>vL.ValorDinamicaSexoFemininoPercMoeda</t>
  </si>
  <si>
    <t>vL.ValorDinamicaSexoFemininoMoeda</t>
  </si>
  <si>
    <t>vL.ValorDinamicaSexoMasculinoPercMoeda</t>
  </si>
  <si>
    <t>vL.ValorDinamicaSexoMasculinoMoeda</t>
  </si>
  <si>
    <t>vL.ValorDinamicaSexoOutrosPercMoeda</t>
  </si>
  <si>
    <t>vL.ValorDinamicaSexoOutrosMoeda</t>
  </si>
  <si>
    <t>vL.ValorCurvaABC01SinistrosPersonalizavel</t>
  </si>
  <si>
    <t>vL.ValorCurvaABC02SinistrosPersonalizavel</t>
  </si>
  <si>
    <t>vL.ValorCurvaABC03SinistrosPersonalizavel</t>
  </si>
  <si>
    <t>vL.ValorMedioSinistrosPersonalizavel</t>
  </si>
  <si>
    <t>vL.ValorS'inistrosPagosAcumuladoDPeHO</t>
  </si>
  <si>
    <t>vL.ValorPercSinistrosSexoOutrosAjustados</t>
  </si>
  <si>
    <t>vL.ValorSinistrosSexoOutrosAjustados</t>
  </si>
  <si>
    <t>vL.ValorSinistrosSexoPadrao</t>
  </si>
  <si>
    <t>vL.ValorSinistrosSexoPersonalizavel</t>
  </si>
  <si>
    <t>vL.ValorSinistrosPadraoDPeHO</t>
  </si>
  <si>
    <t>vL.ValorSinistrosPadraoAcumuladoDPeHO</t>
  </si>
  <si>
    <t>vL.ValorSinistrosPersonalizavel</t>
  </si>
  <si>
    <t>vL.ValorSinistrosPersonalizavelAcumulado</t>
  </si>
  <si>
    <t>vL.ValorSinistrosPersonalizavelDPeHO</t>
  </si>
  <si>
    <t>vL.ValorSinistrosPersonalizavelAcumuladoDPeHO</t>
  </si>
  <si>
    <t>vL.ValorSinistrosPersonalizavelAnoAnterior</t>
  </si>
  <si>
    <t>vL.ValorSinistrosPersonalizavelAnoAtual</t>
  </si>
  <si>
    <t>DentroOriginal</t>
  </si>
  <si>
    <t>VariableNameDentroCSV</t>
  </si>
  <si>
    <t>Somar</t>
  </si>
  <si>
    <t>Somar %</t>
  </si>
  <si>
    <t>$Calculo Medida</t>
  </si>
  <si>
    <t>Rotulo Dimensão</t>
  </si>
  <si>
    <t>Calculo - Periodo</t>
  </si>
  <si>
    <t>$Exibir Abas</t>
  </si>
  <si>
    <t>Todas</t>
  </si>
  <si>
    <t>Table</t>
  </si>
  <si>
    <t>DimensaoID2</t>
  </si>
  <si>
    <t>$DimensaoID</t>
  </si>
  <si>
    <t>GrupoDaDimensao</t>
  </si>
  <si>
    <t>Grupo Para Analise</t>
  </si>
  <si>
    <t>$Dimensão Configurada</t>
  </si>
  <si>
    <t>Calculos de Medidas</t>
  </si>
  <si>
    <t>$MedidaID</t>
  </si>
  <si>
    <t>Media Ano Atual</t>
  </si>
  <si>
    <t>Media Ano Anterior</t>
  </si>
  <si>
    <t>% Media Ano Atual x Anterior</t>
  </si>
  <si>
    <t>Media %</t>
  </si>
  <si>
    <t>Coluna1</t>
  </si>
  <si>
    <t>tem</t>
  </si>
  <si>
    <t>Nome Estipulante</t>
  </si>
  <si>
    <t>Media Aritmética</t>
  </si>
  <si>
    <t>MediaAritmetica</t>
  </si>
  <si>
    <t>duplicidade</t>
  </si>
  <si>
    <t>$Abas Classificar</t>
  </si>
  <si>
    <t>Max parametro padrão</t>
  </si>
  <si>
    <t>Min Parametro Padrão</t>
  </si>
  <si>
    <t>Max</t>
  </si>
  <si>
    <t>Min</t>
  </si>
  <si>
    <t>Prazo Area Sinistro</t>
  </si>
  <si>
    <t>Prazo Unimed</t>
  </si>
  <si>
    <t>Dimensão</t>
  </si>
  <si>
    <t>Descrição Regras</t>
  </si>
  <si>
    <t>Tipo Informação Regras</t>
  </si>
  <si>
    <t>Nome Informação Regras</t>
  </si>
  <si>
    <t>Tags Regras</t>
  </si>
  <si>
    <t>Titulo</t>
  </si>
  <si>
    <t>TIPO</t>
  </si>
  <si>
    <t>TIPO2</t>
  </si>
  <si>
    <t>TIPO3</t>
  </si>
  <si>
    <t>text-image</t>
  </si>
  <si>
    <t>Metrica</t>
  </si>
  <si>
    <t>ReloadTime()</t>
  </si>
  <si>
    <t>Min([Chave Fato Calendario])</t>
  </si>
  <si>
    <t>Max([Chave Fato Calendario])</t>
  </si>
  <si>
    <t>table</t>
  </si>
  <si>
    <t>635e41e5-970e-4d99-ba3b-4bdd0bc59c98</t>
  </si>
  <si>
    <t>GtnDPx</t>
  </si>
  <si>
    <t>QPmgQhP</t>
  </si>
  <si>
    <t>jSCUE</t>
  </si>
  <si>
    <t>=$(vL.DimensaoDinamica_Nome(*Etária Por Idade Ocorrencia*, 1))</t>
  </si>
  <si>
    <t>$(vL.ExprDinamicaNivel01(SexoFeminino, $(vL.ExprClassificaoDaDimensaoOrdemAbas(1)), Padrao Sexo, 1, $(vL.DimensaoDinamicaParaCalculo($(vL.ExprClassificaoDaDimensaoOrdemAbas(1)),1))))*-1</t>
  </si>
  <si>
    <t>$(vL.ExprDinamicaNivel01(SexoOutros, $(vL.ExprClassificaoDaDimensaoOrdemAbas(1)), Padrao Sexo, 1, $(vL.DimensaoDinamicaParaCalculo($(vL.ExprClassificaoDaDimensaoOrdemAbas(1)),1))))</t>
  </si>
  <si>
    <t>$(vL.ExprDinamicaNivel01(SexoMasculino, $(vL.ExprClassificaoDaDimensaoOrdemAbas(1)), Padrao Sexo, 1, $(vL.DimensaoDinamicaParaCalculo($(vL.ExprClassificaoDaDimensaoOrdemAbas(1)),1))))</t>
  </si>
  <si>
    <t>"" - "" - ""</t>
  </si>
  <si>
    <t>qsSimpleKPI</t>
  </si>
  <si>
    <t>filterpane</t>
  </si>
  <si>
    <t>$(vL.ExprDinamicaNivel01(SexoMasculino, Contar, Padrao Sexo, 1, $(vL.DimensaoDinamicaParaCalculo(Contar,1))))</t>
  </si>
  <si>
    <t>"" - "" - "" - -</t>
  </si>
  <si>
    <t>$(vL.ExprDinamicaNivel01(SexoMasculino, Contar %, Padrao Sexo, 1, $(vL.DimensaoDinamicaParaCalculo(Contar %,1))))</t>
  </si>
  <si>
    <t>$(vL.ExprDinamicaNivel01(SexoMasculino, Somar, Padrao Sexo, 1, $(vL.DimensaoDinamicaParaCalculo(Somar,1))))</t>
  </si>
  <si>
    <t>$(vL.ExprDinamicaNivel01(SexoMasculino, Media, Padrao Sexo, 1, $(vL.DimensaoDinamicaParaCalculo(Media,1))))</t>
  </si>
  <si>
    <t>$(vL.ExprDinamicaNivel01(SexoFeminino, Contar, Padrao Sexo, 1, $(vL.DimensaoDinamicaParaCalculo(Contar,1))))</t>
  </si>
  <si>
    <t>$(vL.ExprDinamicaNivel01(SexoFeminino, Contar %, Padrao Sexo, 1, $(vL.DimensaoDinamicaParaCalculo(Contar %,1))))</t>
  </si>
  <si>
    <t>$(vL.ExprDinamicaNivel01(SexoFeminino, Somar, Padrao Sexo, 1, $(vL.DimensaoDinamicaParaCalculo(Somar,1))))</t>
  </si>
  <si>
    <t>$(vL.ExprDinamicaNivel01(SexoFeminino, Media, Padrao Sexo, 1, $(vL.DimensaoDinamicaParaCalculo(Media,1))))</t>
  </si>
  <si>
    <t>$(vL.ExprDinamicaParametroNivel00(Medida Simples, $(vL.ExprClassificaoDaDimensaoOrdemAbas(1)), Padrao, 1, $(vL.DimensaoDinamicaParaCalculo($(vL.ExprClassificaoDaDimensaoOrdemAbas(1)),1))))</t>
  </si>
  <si>
    <t>$(vL.ExprDinamicaParametroNivel00(Medida Simples, ContaSDistinct, Padrao, 1, Data Movimento))</t>
  </si>
  <si>
    <t>$(vL.ExprDinamicaNivel01(SexoOutros, Contar, Padrao Sexo, 1, $(vL.DimensaoDinamicaParaCalculo(Contar,1))))</t>
  </si>
  <si>
    <t>$(vL.ExprDinamicaNivel01(SexoOutros, Contar %, Padrao Sexo, 1, $(vL.DimensaoDinamicaParaCalculo(Contar %,1))))</t>
  </si>
  <si>
    <t>$(vL.ExprDinamicaNivel01(SexoOutros, Somar, Padrao Sexo, 1, $(vL.DimensaoDinamicaParaCalculo(Somar,1))))</t>
  </si>
  <si>
    <t>$(vL.ExprDinamicaNivel01(SexoOutros, Media, Padrao Sexo, 1, $(vL.DimensaoDinamicaParaCalculo(Media,1))))</t>
  </si>
  <si>
    <t>=$(vL.DimensaoDinamica_Ordem(1))</t>
  </si>
  <si>
    <t>$(vL.ExprDinamicaNivel01(SexoFeminino, $(vL.ExprClassificaoDaDimensaoOrdemAbas(1)), Padrao Sexo, 1, $(vL.DimensaoDinamicaParaCalculo($(vL.ExprClassificaoDaDimensaoOrdemAbas(1)),1))))</t>
  </si>
  <si>
    <t>combochart</t>
  </si>
  <si>
    <t>FMM</t>
  </si>
  <si>
    <t>$(vL.ExprDinamicaParametroNivel00(Comparação entre Anos, $(vL.ExprClassificaoDaDimensaoOrdemAbas(1)), Padrao, 2, $(vL.DimensaoDinamicaParaCalculo($(vL.ExprClassificaoDaDimensaoOrdemAbas(1)),1))))</t>
  </si>
  <si>
    <t>$(vL.ExprDinamicaParametroNivel00(Comparação entre Anos, $(vL.ExprClassificaoDaDimensaoOrdemAbas(1)), Padrao, 1, $(vL.DimensaoDinamicaParaCalculo($(vL.ExprClassificaoDaDimensaoOrdemAbas(1)),1))))</t>
  </si>
  <si>
    <t>$(vL.ExprDinamicaParametroNivel00(Comparação entre Anos %, $(vL.ExprClassificaoDaDimensaoOrdemAbas(1)) %, Padrao, 1,$(vL.DimensaoDinamicaParaCalculo($(vL.ExprClassificaoDaDimensaoOrdemAbas(1))))))</t>
  </si>
  <si>
    <t>166beacf-09d8-4cf9-b077-5b89f2a6762d</t>
  </si>
  <si>
    <t>$(vL.ExprDinamicaParametroNivel00(Medida Simples, Somar, Padrao, 1, $(vL.DimensaoDinamicaParaCalculo(Somar,1)) ))</t>
  </si>
  <si>
    <t>$(vL.ExprDinamicaParametroNivel00(Medida Simples, Contar, Padrao, 1, $(vL.DimensaoDinamicaParaCalculo(Contar,1)) ))</t>
  </si>
  <si>
    <t>qlik-multi-kpi</t>
  </si>
  <si>
    <t>=$(vL.DimensaoDinamica_OrdemUnica(1))</t>
  </si>
  <si>
    <t>=$(vL.DimensaoDinamica_OrdemUnica(2))</t>
  </si>
  <si>
    <t>=$(vL.DimensaoDinamica_OrdemUnica(3))</t>
  </si>
  <si>
    <t>=$(vL.DimensaoDinamica_OrdemUnica(4))</t>
  </si>
  <si>
    <t>=$(vL.DimensaoDinamica_OrdemUnica(5))</t>
  </si>
  <si>
    <t>=$(vL.DimensaoDinamica_OrdemUnica(7))</t>
  </si>
  <si>
    <t>=$(vL.DimensaoDinamica_OrdemUnica(6))</t>
  </si>
  <si>
    <t>=$(vL.DimensaoDinamica_OrdemUnica(8))</t>
  </si>
  <si>
    <t>=$(vL.DimensaoDinamica_OrdemUnica(9))</t>
  </si>
  <si>
    <t>$(vL.ExprDinamicaOrdemUnica(1))</t>
  </si>
  <si>
    <t>$(vL.ExprDinamicaOrdemUnica(2))</t>
  </si>
  <si>
    <t>$(vL.ExprDinamicaOrdemUnica(3))</t>
  </si>
  <si>
    <t>$(vL.ExprDinamicaOrdemUnica(4))</t>
  </si>
  <si>
    <t>$(vL.ExprDinamicaOrdemUnica(5))</t>
  </si>
  <si>
    <t>$(vL.ExprDinamicaOrdemUnica(6))</t>
  </si>
  <si>
    <t>$(vL.ExprDinamicaParametroNivel00(Medida Simples, Media, Padrao, 1, Prazo Fixo Aviso x Comunicado Dias Corridos))</t>
  </si>
  <si>
    <t>$(vL.ExprDinamicaParametroNivel00(Medida Simples, Media, Padrao, 1, Prazo Fixo Processual Movimento/Liberação x Comunicado Dias Corridos))</t>
  </si>
  <si>
    <t>$(vL.ExprDinamicaParametroNivel00(Medida Simples, Media, Padrao, 1, Prazo Unimed Max Movimento x Comunicado $(=maxstring([Tipo Movimento Sinistro Prazo])) Dias Corridos))</t>
  </si>
  <si>
    <t>$(vL.ExprDinamicaParametroNivel00(Medida Simples, Media, Padrao, 1, Prazo Area Sinistro Max Movimento x Aviso $(=maxstring([Tipo Movimento Sinistro Prazo])) Dias Corridos))</t>
  </si>
  <si>
    <t>linechart</t>
  </si>
  <si>
    <t>$(vL.MediaPrazo)</t>
  </si>
  <si>
    <t>$(vL.ExprDinamicaParametroNivel00(Comparação entre Anos, Media, Padrao, 2, $(=$(vL.DimPrazo(1))) ))</t>
  </si>
  <si>
    <t>$(vL.ExprDinamicaParametroNivel00(Comparação entre Anos, Media, Padrao, 1, $(=$(vL.DimPrazo(1))) ))</t>
  </si>
  <si>
    <t>$(vL.ExprDinamicaParametroNivel00(Comparação entre Anos %, Media %, Padrao, 1, $(=$(vL.DimPrazo(1))) ))</t>
  </si>
  <si>
    <t>fabs(avg(total [$(=$(vL.DimPrazo(1)))] ))</t>
  </si>
  <si>
    <t>$(vL.ExprDinamicaParametroNivel00(Comparação entre Anos %, $(vL.ExprClassificaoDaDimensaoOrdemAbas(1)) %, Padrao, 1, $(vL.DimensaoDinamicaParaCalculo($(vL.ExprClassificaoDaDimensaoOrdemAbas(1)),1)) ))</t>
  </si>
  <si>
    <t>='Ranking de '&amp;$(vL.LabelDimensaoDinamica_Ordem(1))&amp; ' por diferença anual de Sinistros ' &amp; $(vL.TituloDinamico_Titulo_Grupo)&amp;' - Ano ' &amp; if(count(distinct Ano)&gt;= 2 , '$(vL.MaxAnoAnterior)', ' Selecione dois anos ') &amp; ' VS ' &amp; $(vL.MaxAno) //'Ranking de Sinistros '&amp; $(vL.TituloDinamico_Titulo_Grupo)&amp;' por '&amp; $(vL.LabelDimensaoDinamica_Ordem(1)) &amp; ' ' &amp; if(count(distinct Ano)&gt;= 2 , '$(vL.MaxAnoAnterior)', ' Selecione dois anos ')</t>
  </si>
  <si>
    <t>='Comparativo de Sinistros ' &amp; $(vL.TituloDinamico_Titulo_Grupo)&amp;' - Ano ' &amp; if(count(distinct Ano)&gt;= 2 , '$(vL.MaxAnoAnterior)', ' Selecione dois anos ') &amp; ' VS ' &amp; $(vL.MaxAno)</t>
  </si>
  <si>
    <t>$(vL.ExprDinamicaParametroNivel00(Comparação entre Anos, $(vL.ExprClassificaoDaDimensaoOrdemAbas(1)), Padrao, 1, $(vL.DimensaoDinamicaParaCalculo($(vL.ExprClassificaoDaDimensaoOrdemAbas(1)),1)) ))</t>
  </si>
  <si>
    <t>pivot-table</t>
  </si>
  <si>
    <t>ABA</t>
  </si>
  <si>
    <t>ID OBJ</t>
  </si>
  <si>
    <t>%MI%DimensionField</t>
  </si>
  <si>
    <t>%MI%DimensionName</t>
  </si>
  <si>
    <t xml:space="preserve"> %MI%DimensionLabelExpression</t>
  </si>
  <si>
    <t>%MI%DimensionDescription</t>
  </si>
  <si>
    <t>%MI%DimensionColor</t>
  </si>
  <si>
    <t>%MI%DimensionTags</t>
  </si>
  <si>
    <t>%MI%DimensionId</t>
  </si>
  <si>
    <t>%MI%MeasureExpression</t>
  </si>
  <si>
    <t>%MI%MeasureName</t>
  </si>
  <si>
    <t xml:space="preserve"> %MI%MeasureLabelExpression</t>
  </si>
  <si>
    <t>%MI%MeasureDescription</t>
  </si>
  <si>
    <t>%MI%MeasureColor</t>
  </si>
  <si>
    <t>%MI%MeasureTags</t>
  </si>
  <si>
    <t>%MI%MeasureSegmentColor</t>
  </si>
  <si>
    <t>%MI%MeasureSegmentColorFormat</t>
  </si>
  <si>
    <t>%MI%MeasureId</t>
  </si>
  <si>
    <t>fixed</t>
  </si>
  <si>
    <t>percent</t>
  </si>
  <si>
    <t>Coluna2</t>
  </si>
  <si>
    <t>já éitem mestre</t>
  </si>
  <si>
    <t>é item mestre</t>
  </si>
  <si>
    <t>$(vL.LabelDimensaoDinamica_OrdemUnica(1))</t>
  </si>
  <si>
    <t>$(vL.LabelDimensaoDinamica_OrdemUnica(2))</t>
  </si>
  <si>
    <t>$(vL.LabelDimensaoDinamica_OrdemUnica(3))</t>
  </si>
  <si>
    <t>$(vL.LabelDimensaoDinamica_OrdemUnica(5))</t>
  </si>
  <si>
    <t>$(vL.LabelDimensaoDinamica_OrdemUnica(6))</t>
  </si>
  <si>
    <t>$(vL.LabelDimensaoDinamica_OrdemUnica(7))</t>
  </si>
  <si>
    <t>$(vL.LabelDimensaoDinamica_OrdemUnica(8))</t>
  </si>
  <si>
    <t>$(vL.LabelDimensaoDinamica_OrdemUnica(9))</t>
  </si>
  <si>
    <t>$(vL.DimensaoDinamica_Ordem(1))</t>
  </si>
  <si>
    <t>1.OrdemUnica</t>
  </si>
  <si>
    <t>2.OrdemUnica</t>
  </si>
  <si>
    <t>3.OrdemUnica</t>
  </si>
  <si>
    <t>4.OrdemUnica</t>
  </si>
  <si>
    <t>5.OrdemUnica</t>
  </si>
  <si>
    <t>6.OrdemUnica</t>
  </si>
  <si>
    <t>Feminino Dinamico</t>
  </si>
  <si>
    <t>Masculino Dinamico</t>
  </si>
  <si>
    <t>Outros Dinamico</t>
  </si>
  <si>
    <t>Feminino Dinamico Negativo</t>
  </si>
  <si>
    <t>Feminino Dinamico %</t>
  </si>
  <si>
    <t>Feminino Dinamico Contar</t>
  </si>
  <si>
    <t>Masculino Dinamico Media</t>
  </si>
  <si>
    <t>Masculino Dinamico Somar</t>
  </si>
  <si>
    <t>Feminino Dinamico Media</t>
  </si>
  <si>
    <t>Masculino Dinamico Contar</t>
  </si>
  <si>
    <t>Outros Dinamico Contar</t>
  </si>
  <si>
    <t>Outros Dinamico Media</t>
  </si>
  <si>
    <t>Outros Dinamico Somar</t>
  </si>
  <si>
    <t>Feminino Dinamico Somar</t>
  </si>
  <si>
    <t>Masculino Dinamico %</t>
  </si>
  <si>
    <t>Outros Dinamico %</t>
  </si>
  <si>
    <t>Min Calendario</t>
  </si>
  <si>
    <t>Max Calendario</t>
  </si>
  <si>
    <t>ReloadTime</t>
  </si>
  <si>
    <t>Prazo Dinamico Média Total</t>
  </si>
  <si>
    <t>Prazo Dinamico</t>
  </si>
  <si>
    <t>Prazo Dinamico Anos %</t>
  </si>
  <si>
    <t>Prazo Dinamico Anos Maior</t>
  </si>
  <si>
    <t>Prazo Dinamico Anos Menor</t>
  </si>
  <si>
    <t>Label Comparar Dois Anos</t>
  </si>
  <si>
    <t>Label Ranking Anos</t>
  </si>
  <si>
    <t>Dinamico Ano %</t>
  </si>
  <si>
    <t>Dinamico Ano Menor</t>
  </si>
  <si>
    <t>Dinamico Ano Maior</t>
  </si>
  <si>
    <t>1.Dinamico</t>
  </si>
  <si>
    <t>1.Dinamico Somar</t>
  </si>
  <si>
    <t>2.Dinamico Contar</t>
  </si>
  <si>
    <t>3.Dinamico contar Distinct</t>
  </si>
  <si>
    <t>Prazo Aviso</t>
  </si>
  <si>
    <t>Prazo Processual</t>
  </si>
  <si>
    <t>Comparativo de Sinistros ' &amp; $(vL.TituloDinamico_Titulo_Grupo)&amp;' - Ano ' &amp; if(count(distinct Ano)&gt;= 2 , '$(vL.MaxAnoAnterior)', ' Selecione dois anos ') &amp; ' VS ' &amp; $(vL.MaxAno)</t>
  </si>
  <si>
    <t>Ranking de '&amp;$(vL.LabelDimensaoDinamica_Ordem(1))&amp; ' por diferença anual de Sinistros ' &amp; $(vL.TituloDinamico_Titulo_Grupo)&amp;' - Ano ' &amp; if(count(distinct Ano)&gt;= 2 , '$(vL.MaxAnoAnterior)', ' Selecione dois anos ') &amp; ' VS ' &amp; $(vL.MaxAno) //'Ranking de Sinistros '&amp; $(vL.TituloDinamico_Titulo_Grupo)&amp;' por '&amp; $(vL.LabelDimensaoDinamica_Ordem(1)) &amp; ' ' &amp; if(count(distinct Ano)&gt;= 2 , '$(vL.MaxAnoAnterior)', ' Selecione dois anos ')</t>
  </si>
  <si>
    <t>Expressões Dinamicas</t>
  </si>
  <si>
    <t>%MI%DimensionLabelExpression</t>
  </si>
  <si>
    <t>2.DimensaoDinamica_Ordem</t>
  </si>
  <si>
    <t>'$(vL.LabelDimensaoDinamica_Ordem(2))'</t>
  </si>
  <si>
    <t>Dinamica</t>
  </si>
  <si>
    <t>1903080a-8335-4e59-aa9b-8ef19f317504</t>
  </si>
  <si>
    <t>3.DimensaoDinamica_Ordem</t>
  </si>
  <si>
    <t>'$(vL.LabelDimensaoDinamica_Ordem(3))'</t>
  </si>
  <si>
    <t>1aa7b53c-3b00-4c7d-a634-3d11177727af</t>
  </si>
  <si>
    <t>Prazo de Pagamento em Dias Úteis</t>
  </si>
  <si>
    <t>1c771ec5-1a8d-4dfd-bc18-005ddbba3c43</t>
  </si>
  <si>
    <t>4.DimensaoDinamica_Ordem</t>
  </si>
  <si>
    <t>'$(vL.LabelDimensaoDinamica_Ordem(4))'</t>
  </si>
  <si>
    <t>1ff3fd22-3bce-4f0b-ab88-997532e8ac22</t>
  </si>
  <si>
    <t>24afa261-a0f2-4882-a9c5-bb21139145b3</t>
  </si>
  <si>
    <t>2676c95a-3cb6-44ab-b544-78c108f2d1f5</t>
  </si>
  <si>
    <t>2d1a4d1d-0d0e-4a6b-aa7d-f6857d3a9798</t>
  </si>
  <si>
    <t>Sexo do Segurado Sinistrado</t>
  </si>
  <si>
    <t>3e238a15-a928-4d28-87b8-0b0b754af120</t>
  </si>
  <si>
    <t>BRASIL.Area</t>
  </si>
  <si>
    <t>4d400d1b-5242-4226-927e-3b685691c275</t>
  </si>
  <si>
    <t>Prazo de Cancelamento em Dias Úteis</t>
  </si>
  <si>
    <t>57967624-86fd-487d-9e2a-fcfbd8db1815</t>
  </si>
  <si>
    <t>Prazo de Cancelamento em Dias Corridos</t>
  </si>
  <si>
    <t>6fbad875-9dba-45d6-b935-9a9f764829f5</t>
  </si>
  <si>
    <t>Nome do ProdutoVida</t>
  </si>
  <si>
    <t>'Produto Vida'</t>
  </si>
  <si>
    <t>CeZmZdK</t>
  </si>
  <si>
    <t>CsWvmJ</t>
  </si>
  <si>
    <t>Ramo Susep</t>
  </si>
  <si>
    <t>'Ramo Susep'</t>
  </si>
  <si>
    <t>GAvKJc</t>
  </si>
  <si>
    <t>CPF/CNPJ do Segurado Sinistrado</t>
  </si>
  <si>
    <t xml:space="preserve"> Número Sinistro</t>
  </si>
  <si>
    <t>DD_CPF_Sinistro</t>
  </si>
  <si>
    <t>PpYhSy</t>
  </si>
  <si>
    <t>Ordenação Prazo de Aviso</t>
  </si>
  <si>
    <t>'Ordenação Prazo de Aviso'</t>
  </si>
  <si>
    <t>VpUSRcx</t>
  </si>
  <si>
    <t>1.DimensaoDinamica_Ordem</t>
  </si>
  <si>
    <t>'$(vL.LabelDimensaoDinamica_Ordem(1))'</t>
  </si>
  <si>
    <t>VqTvCLC</t>
  </si>
  <si>
    <t>Geokey</t>
  </si>
  <si>
    <t>XedTctk</t>
  </si>
  <si>
    <t>Grupo de Cobertura</t>
  </si>
  <si>
    <t>a6caf860-5a56-43c6-8fbf-30c61494ace4</t>
  </si>
  <si>
    <t>b45172da-efd5-4a73-9b13-1aece0a313a7</t>
  </si>
  <si>
    <t>b83b16a9-ea76-4b11-9eb0-9fb84f71f0c5</t>
  </si>
  <si>
    <t>baae8c87-834a-47ac-b7eb-226606fc3906</t>
  </si>
  <si>
    <t>bytH</t>
  </si>
  <si>
    <t>Prazo de Aviso em Dias Úteis</t>
  </si>
  <si>
    <t>c01eee3c-c110-49ee-baac-1511182b5707</t>
  </si>
  <si>
    <t>Nome do Segurado Sinistrado</t>
  </si>
  <si>
    <t>c291a64e-12dc-47d5-a6aa-8aa6567ae9a6</t>
  </si>
  <si>
    <t>Prazo de Pagamento em Dias Corridos</t>
  </si>
  <si>
    <t>c8de18ce-bd14-4955-b71e-9db327a64e70</t>
  </si>
  <si>
    <t>Tipo de Data</t>
  </si>
  <si>
    <t>d2b3feb8-8048-48b3-b314-cdabd5242bf9</t>
  </si>
  <si>
    <t>CPF/CNPJ Estipulante</t>
  </si>
  <si>
    <t>e27a53c5-7790-4896-9421-90332d1f1e00</t>
  </si>
  <si>
    <t>feCtjc</t>
  </si>
  <si>
    <t>Idade do Segurado Sinistrado</t>
  </si>
  <si>
    <t>jYfDr</t>
  </si>
  <si>
    <t>'Data do Movimento'</t>
  </si>
  <si>
    <t>kGCD</t>
  </si>
  <si>
    <t>Prazo de Aviso em Dias Corridos</t>
  </si>
  <si>
    <t>kKqxg</t>
  </si>
  <si>
    <t>mqPmm</t>
  </si>
  <si>
    <t>Código da Apólice</t>
  </si>
  <si>
    <t>pesM</t>
  </si>
  <si>
    <t>Data Calendario</t>
  </si>
  <si>
    <t>sRPXf</t>
  </si>
  <si>
    <t>yGASQ</t>
  </si>
  <si>
    <t>jaexiste</t>
  </si>
  <si>
    <t>$(vL.DimensaoDinamica_Ordem(4))</t>
  </si>
  <si>
    <t>$(vL.DimensaoDinamica_Ordem(3))</t>
  </si>
  <si>
    <t>$(vL.DimensaoDinamica_Ordem(2))</t>
  </si>
  <si>
    <t>'$(vL.LabelExprDinamicaParametroNivel00(Comparação entre Anos %, $(vL.ExprClassificaoDaDimensaoOrdemAbas(1)) %, Padrao, 1, $(vL.DimensaoDinamicaParaCalculo($(vL.ExprClassificaoDaDimensaoOrdemAbas(1)),1)) ))'</t>
  </si>
  <si>
    <t>'$(vL.LabelExprDinamicaParametroNivel00(Comparação entre Anos, $(vL.ExprClassificaoDaDimensaoOrdemAbas(1)), Padrao, 1, $(vL.DimensaoDinamicaParaCalculo($(vL.ExprClassificaoDaDimensaoOrdemAbas(1)),1))))'</t>
  </si>
  <si>
    <t>'$(vL.LabelExprDinamicaParametroNivel00(Comparação entre Anos, $(vL.ExprClassificaoDaDimensaoOrdemAbas(1)), Padrao, 2, $(vL.DimensaoDinamicaParaCalculo($(vL.ExprClassificaoDaDimensaoOrdemAbas(1)),1))))'</t>
  </si>
  <si>
    <t>'$(vL.LabelExprDinamicaParametroNivel00(Medida Simples, $(vL.ExprClassificaoDaDimensaoOrdemAbas(1)), Padrao, 1, $(vL.DimensaoDinamicaParaCalculo($(vL.ExprClassificaoDaDimensaoOrdemAbas(1)),1))))'</t>
  </si>
  <si>
    <t>'$(vL.LabelExprDinamicaParametroNivel00(Medida Simples, Contar, Padrao, 1, $(vL.DimensaoDinamicaParaCalculo(Contar,1)) ))'</t>
  </si>
  <si>
    <t>'$(vL.LabelExprDinamicaParametroNivel00(Medida Simples, ContaSDistinct, Padrao, 1, Data Movimento))'</t>
  </si>
  <si>
    <t>'$(vL.LabelExprDinamicaParametroNivel00(Medida Simples, Media, Padrao, 1, Prazo Area Sinistro Max Movimento x Aviso $(=maxstring([Tipo Movimento Sinistro Prazo])) Dias Corridos))'</t>
  </si>
  <si>
    <t>'$(vL.LabelExprDinamicaParametroNivel00(Medida Simples, Media, Padrao, 1, Prazo Fixo Aviso x Comunicado Dias Corridos))'</t>
  </si>
  <si>
    <t>'$(vL.LabelExprDinamicaParametroNivel00(Medida Simples, Media, Padrao, 1, Prazo Fixo Processual Movimento/Liberação x Comunicado Dias Corridos))'</t>
  </si>
  <si>
    <t>'$(vL.LabelExprDinamicaParametroNivel00(Medida Simples, Media, Padrao, 1, Prazo Unimed Max Movimento x Comunicado $(=maxstring([Tipo Movimento Sinistro Prazo])) Dias Corridos))'</t>
  </si>
  <si>
    <t>'$(vL.LabelExprDinamicaParametroNivel00(Medida Simples, Somar, Padrao, 1, $(vL.DimensaoDinamicaParaCalculo(Somar,1)) ))'</t>
  </si>
  <si>
    <t>'$(vL.LabelExprDinamicaNivel01(SexoMasculino, $(vL.ExprClassificaoDaDimensaoOrdemAbas(1)), Padrao Sexo, 1, $(vL.DimensaoDinamicaParaCalculo($(vL.ExprClassificaoDaDimensaoOrdemAbas(1)),1))))'</t>
  </si>
  <si>
    <t>'Max([Chave Fato Calendario])'</t>
  </si>
  <si>
    <t>'Min([Chave Fato Calendario])'</t>
  </si>
  <si>
    <t>'$(vL.LabelExprDinamicaNivel01(SexoOutros, $(vL.ExprClassificaoDaDimensaoOrdemAbas(1)), Padrao Sexo, 1, $(vL.DimensaoDinamicaParaCalculo($(vL.ExprClassificaoDaDimensaoOrdemAbas(1)),1))))'</t>
  </si>
  <si>
    <t>'$(vL.MediaPrazo)'</t>
  </si>
  <si>
    <t>'$(vL.LabelExprDinamicaParametroNivel00(Comparação entre Anos %, Media %, Padrao, 1, $(=$(vL.DimPrazo(1))) ))'</t>
  </si>
  <si>
    <t>'$(vL.LabelExprDinamicaParametroNivel00(Comparação entre Anos, Media, Padrao, 2, $(=$(vL.DimPrazo(1))) ))'</t>
  </si>
  <si>
    <t>'$(vL.LabelExprDinamicaParametroNivel00(Comparação entre Anos, Media, Padrao, 1, $(=$(vL.DimPrazo(1))) ))'</t>
  </si>
  <si>
    <t>'fabs(avg(total [$(=$(vL.DimPrazo(1)))] ))'</t>
  </si>
  <si>
    <t>'$(vL.LabelExprDinamicaOrdemUnica(1))'</t>
  </si>
  <si>
    <t>'$(vL.LabelExprDinamicaOrdemUnica(2))'</t>
  </si>
  <si>
    <t>'$(vL.LabelExprDinamicaOrdemUnica(3))'</t>
  </si>
  <si>
    <t>'$(vL.LabelExprDinamicaOrdemUnica(4))'</t>
  </si>
  <si>
    <t>'$(vL.LabelExprDinamicaOrdemUnica(5))'</t>
  </si>
  <si>
    <t>'$(vL.LabelExprDinamicaOrdemUnica(6))'</t>
  </si>
  <si>
    <t>'$(vL.LabelExprDinamicaNivel01(SexoFeminino, $(vL.ExprClassificaoDaDimensaoOrdemAbas(1)), Padrao Sexo, 1, $(vL.DimensaoDinamicaParaCalculo($(vL.ExprClassificaoDaDimensaoOrdemAbas(1)),1))))'</t>
  </si>
  <si>
    <t>'$(vL.LabelExprDinamicaNivel01(SexoFeminino, $(vL.ExprClassificaoDaDimensaoOrdemAbas(1)), Padrao Sexo, 1, $(vL.DimensaoDinamicaParaCalculo($(vL.ExprClassificaoDaDimensaoOrdemAbas(1)),1))))*-1'</t>
  </si>
  <si>
    <t>#F9423A</t>
  </si>
  <si>
    <t>Vlr'</t>
  </si>
  <si>
    <t>Qtd'</t>
  </si>
  <si>
    <t>%'</t>
  </si>
  <si>
    <t>Format</t>
  </si>
  <si>
    <t>R$#.##0;-R$#.##0</t>
  </si>
  <si>
    <t>Média por Sinistro'</t>
  </si>
  <si>
    <t>#808080</t>
  </si>
  <si>
    <t>#009DDB</t>
  </si>
  <si>
    <t>Calculo - Ano</t>
  </si>
  <si>
    <t>Descrição do cenário</t>
  </si>
  <si>
    <t>Status do Alerta</t>
  </si>
  <si>
    <t>vL.SomaPP</t>
  </si>
  <si>
    <t>vL.ContaPP</t>
  </si>
  <si>
    <t>vL.MediaAritmeticaPP</t>
  </si>
  <si>
    <t>vL.MedianaPP</t>
  </si>
  <si>
    <t>vL.ModaPP</t>
  </si>
  <si>
    <t>vL.MediaPP</t>
  </si>
  <si>
    <t>vL.SomaPercPP</t>
  </si>
  <si>
    <t>vL.MediaSemQ1eQ3PP</t>
  </si>
  <si>
    <t>vL.ModaSemQ1eQ3PP</t>
  </si>
  <si>
    <t>vL.MedianaSemQ1eQ3PP</t>
  </si>
  <si>
    <t>vL.MediaRankContaSemQ1eQ3PP</t>
  </si>
  <si>
    <t>vL.LayerSuperiorPP</t>
  </si>
  <si>
    <t>vL.LayerInferiorPP</t>
  </si>
  <si>
    <t>vL.1QuartilPP</t>
  </si>
  <si>
    <t>vL.3QuartilPP</t>
  </si>
  <si>
    <t>vL.maxPP</t>
  </si>
  <si>
    <t>vL.minPP</t>
  </si>
  <si>
    <t>vL.IQR_Intervalo_Semi_interquartilPP</t>
  </si>
  <si>
    <t>vL.ContaPercPP</t>
  </si>
  <si>
    <t>vL.ContaABC02PP</t>
  </si>
  <si>
    <t>vL.ContaABC03PP</t>
  </si>
  <si>
    <t>vL.ContaMaxYearPP</t>
  </si>
  <si>
    <t>vL.ContaMax2YearPP</t>
  </si>
  <si>
    <t>vL.PercContaMaxYearPPVsMax2YearPP</t>
  </si>
  <si>
    <t>vL.SomaMaxYearPP</t>
  </si>
  <si>
    <t>vL.SomaMax2YearPP</t>
  </si>
  <si>
    <t>vL.PercSomaMaxYearPPVsMax2YearPP</t>
  </si>
  <si>
    <t>vL.MediaMaxYearPP</t>
  </si>
  <si>
    <t>vL.MediaMax2YearPP</t>
  </si>
  <si>
    <t>vL.PercMediaMaxYearPPVsMax2YearPP</t>
  </si>
  <si>
    <t>vL.SomaABC01PP</t>
  </si>
  <si>
    <t>vL.SomaABC02PP</t>
  </si>
  <si>
    <t>vL.SomaABC03PP</t>
  </si>
  <si>
    <t>vL.ContaABC01PP</t>
  </si>
  <si>
    <t>vL.ContaSDistinctPP</t>
  </si>
  <si>
    <t>O painel é atualizado diariamente.</t>
  </si>
  <si>
    <t>A informação "Última Atualização Painel" acima demostra qual foi a data da carga.</t>
  </si>
  <si>
    <t>"Maior Data de Alerta Registrado" corresponde a última data de alerta registrada na base de output da solução SFF que foi carregada na atualização do painel.</t>
  </si>
  <si>
    <t>Avalia a quantidade de casos analisados que efetivamente não se tratavam de fraude.</t>
  </si>
  <si>
    <t>Tem como objetivo mensurar o montante de casos que possuem um score significante e não foram submetidos a análise dos investigadores</t>
  </si>
  <si>
    <t>Periodo Atualização</t>
  </si>
  <si>
    <t>periodo;atualização</t>
  </si>
  <si>
    <t>Falso Positivos</t>
  </si>
  <si>
    <t>Casos Fechados</t>
  </si>
  <si>
    <t>casos fechados;resumo;regras</t>
  </si>
  <si>
    <t>O campo DAT_ALTERACAO do disposition é a data do aviso</t>
  </si>
  <si>
    <t>regra a expirar;</t>
  </si>
  <si>
    <t>Campos</t>
  </si>
  <si>
    <t>Status Finalizados Alerta</t>
  </si>
  <si>
    <t>MêsAno do Comunicado do Alerta</t>
  </si>
  <si>
    <t>Datas</t>
  </si>
  <si>
    <t>Detalhes do Alerta</t>
  </si>
  <si>
    <t>falso Positivo;resumo;regras;Status Alerta</t>
  </si>
  <si>
    <t>regra;data;comunicado;serit;reembolso</t>
  </si>
  <si>
    <t>Calculo - Somar</t>
  </si>
  <si>
    <t>os campos "Comunicado do Sinistro" corresponde a Data do Aviso/Comunicado do Sinistro  para o SERIT ou Reembolso</t>
  </si>
  <si>
    <t>Status</t>
  </si>
  <si>
    <t>planejada</t>
  </si>
  <si>
    <t>implementada</t>
  </si>
  <si>
    <t>valor salvo</t>
  </si>
  <si>
    <t>prioridade</t>
  </si>
  <si>
    <t>Nome da Regra</t>
  </si>
  <si>
    <t>c2e662db-e22e-4320-be54-39a41910ba95</t>
  </si>
  <si>
    <t>Personalizado</t>
  </si>
  <si>
    <t>Maior</t>
  </si>
  <si>
    <t>Media S/ Outlier</t>
  </si>
  <si>
    <t>Mediana S/ Outlier</t>
  </si>
  <si>
    <t>Moda S/ Outlier</t>
  </si>
  <si>
    <t>Media Rank Qtd s/ Outlier</t>
  </si>
  <si>
    <t>vL.EstimativaSavings</t>
  </si>
  <si>
    <t>EstimativaSavings%</t>
  </si>
  <si>
    <t xml:space="preserve">Estimativa Savings </t>
  </si>
  <si>
    <t>% Estimativa Savings</t>
  </si>
  <si>
    <t>EstimativaSavings</t>
  </si>
  <si>
    <t>vL.EstimativaSavingsPercent</t>
  </si>
  <si>
    <t>#.##0;-#.##0</t>
  </si>
  <si>
    <t>R$ #.##0;R$ -#.##0</t>
  </si>
  <si>
    <t>0,00%;-0,00%</t>
  </si>
  <si>
    <t>Filtro - Status Resumido Alerta</t>
  </si>
  <si>
    <t>e7c7e9b8-453f-49f2-b5b6-30b5ba83e665</t>
  </si>
  <si>
    <t>50bc6ae7-a363-4b26-8d98-dd5ddcdaa72e</t>
  </si>
  <si>
    <t>eaf43b1f-d295-4fb2-b5d7-6a2074995699</t>
  </si>
  <si>
    <t>d6415347-f295-4ca0-afc2-4b0c12da9b8c</t>
  </si>
  <si>
    <t>6092dea0-bfde-41d2-b250-e508edbcbbc8</t>
  </si>
  <si>
    <t>f5e58071-e6a4-4c0a-9d9f-aa2eca75346d</t>
  </si>
  <si>
    <t>8af687f5-b62f-407f-a6b1-e59b76f14d46</t>
  </si>
  <si>
    <t>11c458d3-e4dc-400e-a986-16a6db60601e</t>
  </si>
  <si>
    <t>pPFDhH</t>
  </si>
  <si>
    <t>Filtro - para Reembolso e Cenarios</t>
  </si>
  <si>
    <t>bKuLak</t>
  </si>
  <si>
    <t>c780a908-fadc-4714-8117-60c39f22bd24</t>
  </si>
  <si>
    <t>Filtro - Lista de Campos</t>
  </si>
  <si>
    <t>b027c184-8985-4457-8cad-b78384d5b836</t>
  </si>
  <si>
    <t>fb7241e7-b69a-4805-a348-6dec5b584718</t>
  </si>
  <si>
    <t>Grafico de barras acumuladas R$ Descrição do Cenário x Status Resumido Alerta</t>
  </si>
  <si>
    <t>tcftLE</t>
  </si>
  <si>
    <t>Grafico de barras e Linhas # x $ (Descrição Cenario)</t>
  </si>
  <si>
    <t>Tabela dinamica</t>
  </si>
  <si>
    <t>SFgHv</t>
  </si>
  <si>
    <t>ObjectID</t>
  </si>
  <si>
    <t>Descrição Visualização</t>
  </si>
  <si>
    <t>169b32ed-9e60-4303-b9cf-2bbf30feac26</t>
  </si>
  <si>
    <t>366a5a9b-8782-471f-b4b6-5117fc2134e6</t>
  </si>
  <si>
    <t>5135f65f-27ee-484a-99cd-73a5b1c7848e</t>
  </si>
  <si>
    <t>645edcba-7303-4e2e-b31a-587c0ab315bf</t>
  </si>
  <si>
    <t>6793c2be-6856-431b-94b2-b62a72965822</t>
  </si>
  <si>
    <t>7bdda8a9-5f4f-4235-bfb5-405bc52350da</t>
  </si>
  <si>
    <t>858982b2-828b-4bc7-818f-719e186ca56d</t>
  </si>
  <si>
    <t>a7a85192-5167-48c9-9ba3-a94d6df9ce9a</t>
  </si>
  <si>
    <t>c11dbb01-3bc3-4ad2-8458-a9a6eba3e64f</t>
  </si>
  <si>
    <t>ec540379-b414-47ea-b63a-7d55b8288fc5</t>
  </si>
  <si>
    <t>mHdzXCd</t>
  </si>
  <si>
    <t>Resultado Operacional</t>
  </si>
  <si>
    <t>6833b531-041c-45e4-8235-9ec6dc211df4</t>
  </si>
  <si>
    <t>"" - "" - "" - Quant de Alertas -</t>
  </si>
  <si>
    <t>$(vL.TotalAlertas)</t>
  </si>
  <si>
    <t>{"qStringExpression":{"qExpr":"='R$ ' &amp; $(vL.LabelDimensaoDinamica_Ordem(1)) &amp; ' x ' &amp; $(vL.LabelDimensaoDinamica_Ordem(2))"}} - "" - "" - - =$(vL.LabelDimensaoDinamica_Ordem(1))</t>
  </si>
  <si>
    <t>=$(vL.DimensaoDinamica_PorQuantidade(1))</t>
  </si>
  <si>
    <t>{"qStringExpression":{"qExpr":"='R$ ' &amp; $(vL.LabelDimensaoDinamica_Ordem(1)) &amp; ' x ' &amp; $(vL.LabelDimensaoDinamica_Ordem(2))"}} - "" - "" - - =$(vL.LabelDimensaoDinamica_Ordem(2))</t>
  </si>
  <si>
    <t>=$(vL.DimensaoDinamica_PorQuantidade2(2))</t>
  </si>
  <si>
    <t>{"qStringExpression":{"qExpr":"='R$ ' &amp; $(vL.LabelDimensaoDinamica_Ordem(1)) &amp; ' x ' &amp; $(vL.LabelDimensaoDinamica_Ordem(2))"}} - "" - ""</t>
  </si>
  <si>
    <t>b97cd963-9247-4c45-a69e-3c5d88d3e936</t>
  </si>
  <si>
    <t>"Status Finalizados # / %" - "" - "" - -</t>
  </si>
  <si>
    <t>piechart</t>
  </si>
  <si>
    <t>"Status Finalizados # / %" - "" - ""</t>
  </si>
  <si>
    <t>3588244f-e840-4568-869f-1e6f5006c635</t>
  </si>
  <si>
    <t>"Status Finalizados R$ / %" - "" - "" - -</t>
  </si>
  <si>
    <t>"Status Finalizados R$ / %" - "" - "" - #Finalizados -</t>
  </si>
  <si>
    <t>sum({&lt;[Status Resumido Alerta]={'Finalizados'}&gt;} [Valor Pago])</t>
  </si>
  <si>
    <t>"Analise Geral # / %" - "" - ""</t>
  </si>
  <si>
    <t>yEAPsmC</t>
  </si>
  <si>
    <t>"Analise Geral # / %" - "" - "" - # Alertas -</t>
  </si>
  <si>
    <t>Count( Distinct [Chave do Alerta])</t>
  </si>
  <si>
    <t>"" - "" - "" - Valor Informado -</t>
  </si>
  <si>
    <t>$(vL.ValorInformado)</t>
  </si>
  <si>
    <t>"Analise Geral R$ / %" - "" - ""</t>
  </si>
  <si>
    <t>"Analise Geral R$ / %" - "" - "" - Pago -</t>
  </si>
  <si>
    <t>sum([Valor Pago])</t>
  </si>
  <si>
    <t>Resultado Financeiro</t>
  </si>
  <si>
    <t>"Valor Financeiro" - "" - "" - Savings -</t>
  </si>
  <si>
    <t>waterfallchart</t>
  </si>
  <si>
    <t>Sum([Valor Savings])</t>
  </si>
  <si>
    <t>"Valor Financeiro" - "" - "" - Possivel Retenção -</t>
  </si>
  <si>
    <t>Sum([Valor Possivel Retenção])</t>
  </si>
  <si>
    <t>"Valor Financeiro" - "" - "" - Falso Positivo -</t>
  </si>
  <si>
    <t>Sum([Valor Falso Positivo])</t>
  </si>
  <si>
    <t>"Valor Financeiro" - "" - "" - Perda Financeira -</t>
  </si>
  <si>
    <t>Sum([Valor Perda Financeira])</t>
  </si>
  <si>
    <t>"Valor Financeiro" - "" - "" - Pendente Avaliação -</t>
  </si>
  <si>
    <t>Sum([Valor Pendente Avaliação])</t>
  </si>
  <si>
    <t>"Valor Financeiro" - "" - "" - Alertado -</t>
  </si>
  <si>
    <t>"Cascata de Finalizados em R$" - "" - "" - #Falso Positivo -</t>
  </si>
  <si>
    <t>Sum({&lt;[Status do Alerta] = {'GLOSADO','FALSO POSITIVO'}&gt;}[Valor Pago])</t>
  </si>
  <si>
    <t>"Cascata de Finalizados em R$" - "" - "" - #Fraude -</t>
  </si>
  <si>
    <t>Sum( {&lt;[Status do Alerta] = {'ABUSO','FRAUDE'}&gt;}[Valor Pago])</t>
  </si>
  <si>
    <t>"Cascata de Finalizados em R$" - "" - "" - Inconclusivos -</t>
  </si>
  <si>
    <t>Sum({&lt;[Status do Alerta] -= {'ABUSO','FRAUDE', 'GLOSADO','FALSO POSITIVO'},[Status Resumido Alerta] = {'Finalizados'}&gt;}[Valor Pago])</t>
  </si>
  <si>
    <t>"Dimensão" - "" - "" - -</t>
  </si>
  <si>
    <t>{"qStringExpression":{"qExpr":"='# x $ (' &amp; $(vL.LabelDimensaoDinamica_Ordem(1)) &amp;')'"}} - {"qStringExpression":{"qExpr":"'Utilize o rótulo para escolher outras opções de análises'"}} - "" - - =$(vL.LabelDimensaoDinamica_Ordem(1))</t>
  </si>
  <si>
    <t>{"qStringExpression":{"qExpr":"='# x $ (' &amp; $(vL.LabelDimensaoDinamica_Ordem(1)) &amp;')'"}} - {"qStringExpression":{"qExpr":"'Utilize o rótulo para escolher outras opções de análises'"}} - ""</t>
  </si>
  <si>
    <t>UJXJwj</t>
  </si>
  <si>
    <t>{"qStringExpression":{"qExpr":"='# ' &amp; $(vL.LabelDimensaoDinamica_Ordem(1)) &amp; ' x ' &amp; $(vL.LabelDimensaoDinamica_Ordem(2))"}} - "" - "" - - =$(vL.LabelDimensaoDinamica_PorQuantidade(1))</t>
  </si>
  <si>
    <t>{"qStringExpression":{"qExpr":"='# ' &amp; $(vL.LabelDimensaoDinamica_Ordem(1)) &amp; ' x ' &amp; $(vL.LabelDimensaoDinamica_Ordem(2))"}} - "" - "" - - =$(vL.LabelDimensaoDinamica_PorQuantidade2(2))</t>
  </si>
  <si>
    <t>{"qStringExpression":{"qExpr":"='# ' &amp; $(vL.LabelDimensaoDinamica_Ordem(1)) &amp; ' x ' &amp; $(vL.LabelDimensaoDinamica_Ordem(2))"}} - "" - ""</t>
  </si>
  <si>
    <t>{"qStringExpression":{"qExpr":"=if('$(=maxstring({&lt;[$Ordem Visualizar Dimensão]={$(=max([$Ordem Visualizar Dimensão]))}&gt;} [$Calculo Medida]))'='Contar Alertas'\r\n\t\t,'$(=maxstring({&lt;[$Ordem Visualizar Dimensão]={$(=max([$Ordem Visualizar Dimensão]))}&gt;} [$Calculo Medida]))'\n\t\t,if('$(=maxstring({&lt;[$Ordem Visualizar Dimensão]={$(=max([$Ordem Visualizar Dimensão]))}&gt;} [$Calculo Medida]))'='Somar'\n ,'$(=maxstring({&lt;[$Ordem Visualizar Dimensão]={$(=max([$Ordem Visualizar Dimensão]))}&gt;} [$Calculo Medida]))' &amp; ' ($(=Maxstring({&lt;[$Ordem Visualizar Dimensão Config Somar]={$(=min([$Ordem Visualizar Dimensão Config Somar]))}&gt;} [Dimensão Config P/ Somar])))'\n ,'$(=maxstring({&lt;[$Ordem Visualizar Dimensão]={$(=max([$Ordem Visualizar Dimensão]))}&gt;} [$Calculo Medida]))' &amp; ' ($(=Maxstring({&lt;[$Ordem Visualizar Dimensão Config Media]={$(=min([$Ordem Visualizar Dimensão Config Media]))}&gt;} [Dimensão Config P/ Media])))'\n \t)\n )\n&amp; ' - ' &amp; $(vL.LabelDimensaoDinamica_Ordem(1)) &amp; ' x ' &amp; $(vL.LabelDimensaoDinamica_Ordem(2))"}} - "" - "" - - =$(vL.LabelDimensaoDinamica_PorQuantidade(1))</t>
  </si>
  <si>
    <t>{"qStringExpression":{"qExpr":"=if('$(=maxstring({&lt;[$Ordem Visualizar Dimensão]={$(=max([$Ordem Visualizar Dimensão]))}&gt;} [$Calculo Medida]))'='Contar Alertas'\r\n\t\t,'$(=maxstring({&lt;[$Ordem Visualizar Dimensão]={$(=max([$Ordem Visualizar Dimensão]))}&gt;} [$Calculo Medida]))'\n\t\t,if('$(=maxstring({&lt;[$Ordem Visualizar Dimensão]={$(=max([$Ordem Visualizar Dimensão]))}&gt;} [$Calculo Medida]))'='Somar'\n ,'$(=maxstring({&lt;[$Ordem Visualizar Dimensão]={$(=max([$Ordem Visualizar Dimensão]))}&gt;} [$Calculo Medida]))' &amp; ' ($(=Maxstring({&lt;[$Ordem Visualizar Dimensão Config Somar]={$(=min([$Ordem Visualizar Dimensão Config Somar]))}&gt;} [Dimensão Config P/ Somar])))'\n ,'$(=maxstring({&lt;[$Ordem Visualizar Dimensão]={$(=max([$Ordem Visualizar Dimensão]))}&gt;} [$Calculo Medida]))' &amp; ' ($(=Maxstring({&lt;[$Ordem Visualizar Dimensão Config Media]={$(=min([$Ordem Visualizar Dimensão Config Media]))}&gt;} [Dimensão Config P/ Media])))'\n \t)\n )\n&amp; ' - ' &amp; $(vL.LabelDimensaoDinamica_Ordem(1)) &amp; ' x ' &amp; $(vL.LabelDimensaoDinamica_Ordem(2))"}} - "" - "" - - =$(vL.LabelDimensaoDinamica_PorQuantidade2(2))</t>
  </si>
  <si>
    <t>{"qStringExpression":{"qExpr":"=if('$(=maxstring({&lt;[$Ordem Visualizar Dimensão]={$(=max([$Ordem Visualizar Dimensão]))}&gt;} [$Calculo Medida]))'='Contar Alertas'\r\n\t\t,'$(=maxstring({&lt;[$Ordem Visualizar Dimensão]={$(=max([$Ordem Visualizar Dimensão]))}&gt;} [$Calculo Medida]))'\n\t\t,if('$(=maxstring({&lt;[$Ordem Visualizar Dimensão]={$(=max([$Ordem Visualizar Dimensão]))}&gt;} [$Calculo Medida]))'='Somar'\n ,'$(=maxstring({&lt;[$Ordem Visualizar Dimensão]={$(=max([$Ordem Visualizar Dimensão]))}&gt;} [$Calculo Medida]))' &amp; ' ($(=Maxstring({&lt;[$Ordem Visualizar Dimensão Config Somar]={$(=min([$Ordem Visualizar Dimensão Config Somar]))}&gt;} [Dimensão Config P/ Somar])))'\n ,'$(=maxstring({&lt;[$Ordem Visualizar Dimensão]={$(=max([$Ordem Visualizar Dimensão]))}&gt;} [$Calculo Medida]))' &amp; ' ($(=Maxstring({&lt;[$Ordem Visualizar Dimensão Config Media]={$(=min([$Ordem Visualizar Dimensão Config Media]))}&gt;} [Dimensão Config P/ Media])))'\n \t)\n )\n&amp; ' - ' &amp; $(vL.LabelDimensaoDinamica_Ordem(1)) &amp; ' x ' &amp; $(vL.LabelDimensaoDinamica_Ordem(2))"}} - "" - "" - - ='$(vL.LabelExprDinamicaNivel01($(=Maxstring({&lt;[$Ordem Visualização Medida]={$(=Min([$Ordem Visualização Medida]))}&gt;} [$Conjunto de Exibição])), $(=maxstring({&lt;[$Ordem Visualização Medida]={$(=Min([$Ordem Visualização Medida]))}&gt;} [$Calculo Medida])) , Padrao, 1, ,$(vL.DimensaoDinamicaParaCalculo($(vL.ExprClassificaoDaDimensaoOrdemAbas(1)),1)) ))'</t>
  </si>
  <si>
    <t>$(vL.ExprDinamicaNivel01Formatado($(=Maxstring({&lt;[$Ordem Visualização Medida]={$(=Min([$Ordem Visualização Medida]))}&gt;} [$Conjunto de Exibição])), $(=maxstring({&lt;[$Ordem Visualização Medida]={$(=Min([$Ordem Visualização Medida]))}&gt;} [$Calculo Medida])) , Padrao, 1, , $(vL.DimensaoDinamicaParaCalculo($(vL.ExprClassificaoDaDimensaoOrdemAbas(1)),1)) ))</t>
  </si>
  <si>
    <t>"Cascata de Finalizados em #" - "" - "" - #Falso Positivo -</t>
  </si>
  <si>
    <t>Count( Distinct {&lt;[Status do Alerta] = {'GLOSADO','FALSO POSITIVO'}&gt;}[Chave do Alerta])</t>
  </si>
  <si>
    <t>"Cascata de Finalizados em #" - "" - "" - #Fraude -</t>
  </si>
  <si>
    <t>Count( Distinct {&lt;[Status do Alerta] = {'ABUSO','FRAUDE'}&gt;}[Chave do Alerta])</t>
  </si>
  <si>
    <t>"Cascata de Finalizados em #" - "" - "" - Inconclusivos -</t>
  </si>
  <si>
    <t>Count( Distinct {&lt;[Status do Alerta] -= {'ABUSO','FRAUDE', 'GLOSADO','FALSO POSITIVO'},[Status Resumido Alerta] = {'Finalizados'}&gt;}[Chave do Alerta])</t>
  </si>
  <si>
    <t>bb67cf7c-ad33-4f8b-8111-4771e4f27d90</t>
  </si>
  <si>
    <t>"" - "" - "" - Nome da Regra -</t>
  </si>
  <si>
    <t>{"qStringExpression":{"qExpr":"'# x R$ ($(=Maxstring({&lt;[$Ordem Visualizar Dimensão Config Somar]={$(=min([$Ordem Visualizar Dimensão Config Somar]))}&gt;} [Dimensão Config P/ Somar])) ) Por Período Mês/Ano'\r\n\n\n"}} - {"qStringExpression":{"qExpr":"'Utilize o rótulo para escolher outras opções de análises'"}} - "" - MêsAno do Comunicado do Alerta -</t>
  </si>
  <si>
    <t>{"qStringExpression":{"qExpr":"'# x R$ ($(=Maxstring({&lt;[$Ordem Visualizar Dimensão Config Somar]={$(=min([$Ordem Visualizar Dimensão Config Somar]))}&gt;} [Dimensão Config P/ Somar])) ) Por Período Mês/Ano'\r\n\n\n"}} - {"qStringExpression":{"qExpr":"'Utilize o rótulo para escolher outras opções de análises'"}} - ""</t>
  </si>
  <si>
    <t>{"qStringExpression":{"qExpr":"'# x R$ ($(=Maxstring({&lt;[$Ordem Visualizar Dimensão Config Somar]={$(=min([$Ordem Visualizar Dimensão Config Somar]))}&gt;} [Dimensão Config P/ Somar])) ) Por Período Mês/Ano'\r\n\n\n"}} - {"qStringExpression":{"qExpr":"'Utilize o rótulo para escolher outras opções de análises'"}} - "" - - ='$(=Maxstring({&lt;[$Ordem Visualizar Dimensão Config Somar]={$(=min([$Ordem Visualizar Dimensão Config Somar]))}&gt;} [Dimensão Config P/ Somar])) '</t>
  </si>
  <si>
    <t>$(vL.ExprDinamicaNivel01Formatado(Medida Simples, Somar , Padrao, 1, , $(vL.DimensaoDinamicaParaCalculo($(vL.ExprClassificaoDaDimensaoOrdemUnica(1)),1)) ))</t>
  </si>
  <si>
    <t>{"qStringExpression":{"qExpr":"'Somar por $(=Maxstring({&lt;[$Ordem Visualizar Dimensão Config Somar]={$(=min([$Ordem Visualizar Dimensão Config Somar]))}&gt;} [Dimensão Config P/ Somar])) - ' &amp; $(vL.LabelDimensaoDinamica_Ordem(1))"}} - "" - "" - - =$(vL.LabelDimensaoDinamica_Ordem(1))</t>
  </si>
  <si>
    <t>{"qStringExpression":{"qExpr":"'Somar por $(=Maxstring({&lt;[$Ordem Visualizar Dimensão Config Somar]={$(=min([$Ordem Visualizar Dimensão Config Somar]))}&gt;} [Dimensão Config P/ Somar])) - ' &amp; $(vL.LabelDimensaoDinamica_Ordem(1))"}} - "" - "" - - ='$(=Maxstring({&lt;[$Ordem Visualizar Dimensão Config Somar]={$(=min([$Ordem Visualizar Dimensão Config Somar]))}&gt;} [Dimensão Config P/ Somar])) '</t>
  </si>
  <si>
    <t>{"qStringExpression":{"qExpr":"='# x $ (Por Período Mês/Ano)'"}} - {"qStringExpression":{"qExpr":"'Utilize o rótulo para escolher outras opções de análises'"}} - "" - MêsAno do Comunicado do Alerta -</t>
  </si>
  <si>
    <t>{"qStringExpression":{"qExpr":"='# x $ (Por Período Mês/Ano)'"}} - {"qStringExpression":{"qExpr":"'Utilize o rótulo para escolher outras opções de análises'"}} - ""</t>
  </si>
  <si>
    <t>27c3104d-fa99-4f3d-877f-b71520949d3b</t>
  </si>
  <si>
    <t>ddb65a3f-0aaf-4335-9eae-dba83b1e7d25</t>
  </si>
  <si>
    <t>857a4af5-8db6-4365-8342-027d0354bcc7</t>
  </si>
  <si>
    <t>"" - "" - "" - Valor Alertado -</t>
  </si>
  <si>
    <t>CircularKPI</t>
  </si>
  <si>
    <t>"" - "" - "" - Perda Financeira -</t>
  </si>
  <si>
    <t>"" - "" - "" - % do valor Informado -</t>
  </si>
  <si>
    <t>Sum([Valor Perda Financeira])/$(vL.ValorInformado)</t>
  </si>
  <si>
    <t>"" - "" - "" - Possivel Retenção -</t>
  </si>
  <si>
    <t>Sum([Valor Possivel Retenção])/$(vL.ValorInformado)</t>
  </si>
  <si>
    <t>640d9aee-b831-4d62-a4e3-66fd71a80abd</t>
  </si>
  <si>
    <t>"" - "" - "" - Alertas Concluidos -</t>
  </si>
  <si>
    <t>Sum([Valor Savings])+Sum([Valor Possivel Retenção])+Sum([Valor Falso Positivo])+Sum([Valor Perda Financeira])</t>
  </si>
  <si>
    <t>"" - "" - "" - valor Savings -</t>
  </si>
  <si>
    <t>"" - "" - "" - % Saving Concluidos -</t>
  </si>
  <si>
    <t>=num((Sum([Valor Savings])/(Sum([Valor Savings])+Sum([Valor Possivel Retenção])+Sum([Valor Falso Positivo])+Sum([Valor Perda Financeira]))),'0,0%')</t>
  </si>
  <si>
    <t>"" - "" - "" - Pendente Avaliação -</t>
  </si>
  <si>
    <t>"" - "" - "" - Estimativa Savings -</t>
  </si>
  <si>
    <t>(Sum([Valor Savings])/(Sum([Valor Savings])+Sum([Valor Possivel Retenção])+Sum([Valor Falso Positivo])+Sum([Valor Perda Financeira])))*Sum([Valor Pendente Avaliação])</t>
  </si>
  <si>
    <t>"" - "" - "" - Média Alertas -</t>
  </si>
  <si>
    <t>$(vL.ExprDinamicaNivel01Formatado(Medida Simples, Media S/ Outlier, Padrao, 1,{&lt;[Status Valor]={'Pendente Avaliação'}&gt;} ,Valor Pendente Avaliação ))</t>
  </si>
  <si>
    <t>"" - "" - "" - Mediana -</t>
  </si>
  <si>
    <t>$(vL.ExprDinamicaNivel01Formatado(Medida Simples, Mediana, Padrao, 1, {&lt;[Status Valor]={'Pendente Avaliação'}&gt;} ,Valor Pendente Avaliação ))</t>
  </si>
  <si>
    <t>"" - "" - "" - Moda -</t>
  </si>
  <si>
    <t>$(vL.ExprDinamicaNivel01Formatado(Medida Simples, Moda, Padrao, 1, {&lt;[Status Valor]={'Pendente Avaliação'}&gt;},Valor Pendente Avaliação ))</t>
  </si>
  <si>
    <t>"" - "" - "" - Qtd. Alertas -</t>
  </si>
  <si>
    <t>=num(Sum([Valor Savings])/(Sum([Valor Savings])+Sum([Valor Possivel Retenção])+Sum([Valor Falso Positivo])+Sum([Valor Perda Financeira])),'0,0%')</t>
  </si>
  <si>
    <t>"" - "" - "" - Qtd. Cenários -</t>
  </si>
  <si>
    <t>count(distinct [Nome do cenário])</t>
  </si>
  <si>
    <t>"" - "" - "" - Qtd. Investigador -</t>
  </si>
  <si>
    <t>count(distinct [Usuário Investigador])</t>
  </si>
  <si>
    <t>"" - "" - "" - Savings -</t>
  </si>
  <si>
    <t>=Sum([Valor Savings])</t>
  </si>
  <si>
    <t>Sum([Valor Savings])/$(vL.ValorInformado)</t>
  </si>
  <si>
    <t>"" - "" - "" - Falso Positivo -</t>
  </si>
  <si>
    <t>Sum([Valor Falso Positivo])/$(vL.ValorInformado)</t>
  </si>
  <si>
    <t>Sum([Valor Pendente Avaliação])/$(vL.ValorInformado)</t>
  </si>
  <si>
    <t>xGjbUh</t>
  </si>
  <si>
    <t>Detalhamento dos Casos</t>
  </si>
  <si>
    <t>"" - "" - "" - 01.UnicaDimensaoDinamica_OrdemUnica - $(vL.LabelDimensaoDinamica_OrdemUnica(1))</t>
  </si>
  <si>
    <t>"" - "" - "" - 02.UnicaDimensaoDinamica_OrdemUnica - $(vL.LabelDimensaoDinamica_OrdemUnica(2))</t>
  </si>
  <si>
    <t>"" - "" - "" - 03.UnicaDimensaoDinamica_OrdemUnica - $(vL.LabelDimensaoDinamica_OrdemUnica(3))</t>
  </si>
  <si>
    <t>"" - "" - "" - 04.UnicaDimensaoDinamica_OrdemUnica - $(vL.LabelDimensaoDinamica_OrdemUnica(4))</t>
  </si>
  <si>
    <t>"" - "" - "" - 05.UnicaDimensaoDinamica_OrdemUnica - $(vL.LabelDimensaoDinamica_OrdemUnica(5))</t>
  </si>
  <si>
    <t>"" - "" - "" - 06.UnicaDimensaoDinamica_OrdemUnica - $(vL.LabelDimensaoDinamica_OrdemUnica(6))</t>
  </si>
  <si>
    <t>"" - "" - "" - 07.UnicaDimensaoDinamica_OrdemUnica - $(vL.LabelDimensaoDinamica_OrdemUnica(7))</t>
  </si>
  <si>
    <t>"" - "" - "" - 08.UnicaDimensaoDinamica_OrdemUnica - $(vL.LabelDimensaoDinamica_OrdemUnica(8))</t>
  </si>
  <si>
    <t>"" - "" - "" - 09.UnicaDimensaoDinamica_OrdemUnica - $(vL.LabelDimensaoDinamica_OrdemUnica(9))</t>
  </si>
  <si>
    <t>"" - "" - "" - 10.UnicaDimensaoDinamica_OrdemUnica - $(vL.LabelDimensaoDinamica_OrdemUnica(10))</t>
  </si>
  <si>
    <t>=$(vL.DimensaoDinamica_OrdemUnica(10))</t>
  </si>
  <si>
    <t>FQppEU</t>
  </si>
  <si>
    <t>czzVdyx</t>
  </si>
  <si>
    <t>{"qStringExpression":{"qExpr":"==if('$(=maxstring({&lt;[$Ordem Visualizar Dimensão]={$(=max([$Ordem Visualizar Dimensão]))}&gt;} [$Calculo Medida]))'='Contar Alertas'\r\n\t\t,'$(=maxstring({&lt;[$Ordem Visualizar Dimensão]={$(=max([$Ordem Visualizar Dimensão]))}&gt;} [$Calculo Medida]))'\n\t\t,if('$(=maxstring({&lt;[$Ordem Visualizar Dimensão]={$(=max([$Ordem Visualizar Dimensão]))}&gt;} [$Calculo Medida]))'='Somar'\n ,'$(=maxstring({&lt;[$Ordem Visualizar Dimensão]={$(=max([$Ordem Visualizar Dimensão]))}&gt;} [$Calculo Medida]))' &amp; ' ($(=Maxstring({&lt;[$Ordem Visualizar Dimensão Config Somar]={$(=min([$Ordem Visualizar Dimensão Config Somar]))}&gt;} [Dimensão Config P/ Somar])))'\n ,'$(=maxstring({&lt;[$Ordem Visualizar Dimensão]={$(=max([$Ordem Visualizar Dimensão]))}&gt;} [$Calculo Medida]))' &amp; ' ($(=Maxstring({&lt;[$Ordem Visualizar Dimensão Config Media]={$(=min([$Ordem Visualizar Dimensão Config Media]))}&gt;} [Dimensão Config P/ Media])))'\n \t)\n )\n&amp; ' - ' &amp; $(vL.LabelDimensaoDinamica_Ordem(1)) &amp; ' x ' &amp; $(vL.LabelDimensaoDinamica_Ordem(2))"}} - "" - "" - - =$(vL.LabelDimensaoDinamica_PorQuantidade(1))</t>
  </si>
  <si>
    <t>{"qStringExpression":{"qExpr":"==if('$(=maxstring({&lt;[$Ordem Visualizar Dimensão]={$(=max([$Ordem Visualizar Dimensão]))}&gt;} [$Calculo Medida]))'='Contar Alertas'\r\n\t\t,'$(=maxstring({&lt;[$Ordem Visualizar Dimensão]={$(=max([$Ordem Visualizar Dimensão]))}&gt;} [$Calculo Medida]))'\n\t\t,if('$(=maxstring({&lt;[$Ordem Visualizar Dimensão]={$(=max([$Ordem Visualizar Dimensão]))}&gt;} [$Calculo Medida]))'='Somar'\n ,'$(=maxstring({&lt;[$Ordem Visualizar Dimensão]={$(=max([$Ordem Visualizar Dimensão]))}&gt;} [$Calculo Medida]))' &amp; ' ($(=Maxstring({&lt;[$Ordem Visualizar Dimensão Config Somar]={$(=min([$Ordem Visualizar Dimensão Config Somar]))}&gt;} [Dimensão Config P/ Somar])))'\n ,'$(=maxstring({&lt;[$Ordem Visualizar Dimensão]={$(=max([$Ordem Visualizar Dimensão]))}&gt;} [$Calculo Medida]))' &amp; ' ($(=Maxstring({&lt;[$Ordem Visualizar Dimensão Config Media]={$(=min([$Ordem Visualizar Dimensão Config Media]))}&gt;} [Dimensão Config P/ Media])))'\n \t)\n )\n&amp; ' - ' &amp; $(vL.LabelDimensaoDinamica_Ordem(1)) &amp; ' x ' &amp; $(vL.LabelDimensaoDinamica_Ordem(2))"}} - "" - "" - - ='$(vL.LabelExprDinamicaNivel01($(=Maxstring({&lt;[$Ordem Visualização Medida]={$(=Min([$Ordem Visualização Medida]))}&gt;} [$Conjunto de Exibição])), $(=maxstring({&lt;[$Ordem Visualização Medida]={$(=Min([$Ordem Visualização Medida]))}&gt;} [$Calculo Medida])) , Padrao, 1, ,$(vL.DimensaoDinamicaParaCalculo($(vL.ExprClassificaoDaDimensaoOrdemAbas(1)),1)) ))'</t>
  </si>
  <si>
    <t>LcjxT</t>
  </si>
  <si>
    <t>"Filtros" - "" - ""</t>
  </si>
  <si>
    <t>Informações Gerais:</t>
  </si>
  <si>
    <t>zvkcVH</t>
  </si>
  <si>
    <t>=' Informações e Regras'</t>
  </si>
  <si>
    <t>PxRyJ</t>
  </si>
  <si>
    <t>UcuHP</t>
  </si>
  <si>
    <t>dpxpsr</t>
  </si>
  <si>
    <t>"label - ùltima atualização painel" - "" - ""</t>
  </si>
  <si>
    <t>YLvHU</t>
  </si>
  <si>
    <t>haWpQ</t>
  </si>
  <si>
    <t>"label - Maior data de alerta painel" - "" - ""</t>
  </si>
  <si>
    <t>BKbwDZv</t>
  </si>
  <si>
    <t>JfNJEbL</t>
  </si>
  <si>
    <t>npasg</t>
  </si>
  <si>
    <t xml:space="preserve"> =$(vL.LabelDimensaoDinamica_Ordem(1))</t>
  </si>
  <si>
    <t xml:space="preserve"> =$(vL.LabelDimensaoDinamica_Ordem(2))</t>
  </si>
  <si>
    <t>"Status Finalizados # / %"</t>
  </si>
  <si>
    <t>"Status Finalizados R$ / %"</t>
  </si>
  <si>
    <t>"Analise Geral # / %"</t>
  </si>
  <si>
    <t>"Analise Geral R$ / %"</t>
  </si>
  <si>
    <t>"Dimensão"</t>
  </si>
  <si>
    <t xml:space="preserve"> =$(vL.LabelDimensaoDinamica_PorQuantidade(1))</t>
  </si>
  <si>
    <t xml:space="preserve"> =$(vL.LabelDimensaoDinamica_PorQuantidade2(2))</t>
  </si>
  <si>
    <t xml:space="preserve"> $(vL.LabelDimensaoDinamica_OrdemUnica(4))</t>
  </si>
  <si>
    <t>$(vL.LabelDimensaoDinamica_OrdemUnica(10))</t>
  </si>
  <si>
    <t>Grupo para Analise</t>
  </si>
  <si>
    <t>Colunasapoio</t>
  </si>
  <si>
    <t>Descrição do Objeto</t>
  </si>
  <si>
    <t>TipoObjeto</t>
  </si>
  <si>
    <t>Painel de Filtros</t>
  </si>
  <si>
    <t>abaname</t>
  </si>
  <si>
    <t>sheetname</t>
  </si>
  <si>
    <t>Grafico de Pizza para Analise do status finalizados e em andamentos, por quantidade e Porcentagem</t>
  </si>
  <si>
    <t>ok</t>
  </si>
  <si>
    <t>KPI de total de quantidade de alertas</t>
  </si>
  <si>
    <t>KPI de total de valor Alertado</t>
  </si>
  <si>
    <t>Ordem De Exibição</t>
  </si>
  <si>
    <t>1B</t>
  </si>
  <si>
    <t>1A</t>
  </si>
  <si>
    <t>2a</t>
  </si>
  <si>
    <t>2B</t>
  </si>
  <si>
    <t>2c</t>
  </si>
  <si>
    <t>grafico pizza para Analise de Status Finalizados e em andamento, por Valor e porcentagem</t>
  </si>
  <si>
    <t>2d</t>
  </si>
  <si>
    <t>Grafico de pizza somente dos casos finalziados organizado por status em valor /  Porcentagem (%)</t>
  </si>
  <si>
    <t>Grafico de pizza somente dos casos finalziados organizado por status em Quantidade  /  Porcentagem (%)</t>
  </si>
  <si>
    <t>3a</t>
  </si>
  <si>
    <t>Grafico barras Cascata, para analise em proporção de Finalizados em quantidade</t>
  </si>
  <si>
    <t>3b</t>
  </si>
  <si>
    <t>Grafico barras Cascata, para analise em proporção de Finalizados em valor alertado</t>
  </si>
  <si>
    <t>4a</t>
  </si>
  <si>
    <t>Grafico de barras e Linhas, por periodo, Permite personalização do periodo e do valor</t>
  </si>
  <si>
    <t>5a</t>
  </si>
  <si>
    <t>Grafico de barras acumuladas # Descrição do Cenário x Status Resumido Alerta, utilize o filtro de campos para alterar os eixos das analises</t>
  </si>
  <si>
    <t>5b</t>
  </si>
  <si>
    <t>6a</t>
  </si>
  <si>
    <t>KPI - Valor total alertado</t>
  </si>
  <si>
    <t>1a</t>
  </si>
  <si>
    <t>1b</t>
  </si>
  <si>
    <t>KPI - Valor total savings</t>
  </si>
  <si>
    <t>1c</t>
  </si>
  <si>
    <t>KPI - Valor Total de Perda Financeira</t>
  </si>
  <si>
    <t>KPI - Valor Total de Valor Informado</t>
  </si>
  <si>
    <t>2b</t>
  </si>
  <si>
    <t>KPI - Valor Total de Possivel Retenção</t>
  </si>
  <si>
    <t>KPI - Valor Total de Falso Positivo</t>
  </si>
  <si>
    <t>Grafico de barras, com soma de valor Informado por Descrição do Cenário(permite personalização)</t>
  </si>
  <si>
    <t>Barra em Cascata - Analise propoção entre os valores savings, possivel retenção, etc</t>
  </si>
  <si>
    <t>Analise Crescente/descrecente por Mês/Ano(periodo) e valor calculado personalizavel</t>
  </si>
  <si>
    <t>Barra em Classificação por valor escolhido(personalizavel)</t>
  </si>
  <si>
    <t>Planilha de Valores e Quantidades financeiras para projeção de savings e possivel Retenção</t>
  </si>
  <si>
    <t>Barras para classificar duas dimensões em um valor</t>
  </si>
  <si>
    <t>4F1</t>
  </si>
  <si>
    <t>Filtro para Cenários e Grupo de cenários(Reembolso, Guia, Etc)</t>
  </si>
  <si>
    <t>5F1</t>
  </si>
  <si>
    <t>Filtro - Lista de opção de Calculos</t>
  </si>
  <si>
    <t>5F2</t>
  </si>
  <si>
    <t>Filtro - Config p/ Soma</t>
  </si>
  <si>
    <t>5F3</t>
  </si>
  <si>
    <t>Filtro - Config p/ Media Mediana, Moda</t>
  </si>
  <si>
    <t>Filtro - Lista de campos Agrupados</t>
  </si>
  <si>
    <t>A Aba contem informações sobre as regras, cálculos, campos e visões disponíveis no painel.</t>
  </si>
  <si>
    <t>descrição da pasta/Aba</t>
  </si>
  <si>
    <t>Informaçõe sobre o Painel</t>
  </si>
  <si>
    <t>Esta visão demonstra a qtde de alertas gerados e o valor de aviso correspondente, por status resumido e status de alertas finalizados.</t>
  </si>
  <si>
    <t>$Ordem Visualizar Dimensão</t>
  </si>
  <si>
    <t>Valor não pago em sinistros alertados e marcados como "abuso" ou "fraude" (Valor avisado)</t>
  </si>
  <si>
    <t>Calculos</t>
  </si>
  <si>
    <t>Savings</t>
  </si>
  <si>
    <t>Valor pago em sinistro com marcação de "fraude" ou "abuso"</t>
  </si>
  <si>
    <t>Perda financeira</t>
  </si>
  <si>
    <t>É a data em que o sinistro foi registrado no sistema legado</t>
  </si>
  <si>
    <t>Data do Aviso</t>
  </si>
  <si>
    <t>O campo "Comunicado do Sinistro" corresponde a Data do Aviso/Comunicado do Sinistro  para o SERIT ou Reembolso</t>
  </si>
  <si>
    <t>Data em que o sinistro no sistema legado</t>
  </si>
  <si>
    <t>MêsAno de aviso do sinistro</t>
  </si>
  <si>
    <t>Data em que o alerta foi gerado no SNA</t>
  </si>
  <si>
    <t>MêsAno de execução do alerta</t>
  </si>
  <si>
    <t>Data em que o alerta foi finalizado no SNA</t>
  </si>
  <si>
    <t>MêsAno do fechamento do alerta</t>
  </si>
  <si>
    <t>Painel contendo informações para monitoramento da evolução dos casos da solução SAS FraudFramework (SFF).</t>
  </si>
  <si>
    <t>Detalhes</t>
  </si>
  <si>
    <t>Objetivo principal</t>
  </si>
  <si>
    <t>objetivo;base</t>
  </si>
  <si>
    <t>Falsos positivos</t>
  </si>
  <si>
    <t>Status em andamento</t>
  </si>
  <si>
    <t>Atualização</t>
  </si>
  <si>
    <t>Agrupamento dos status dos alertas</t>
  </si>
  <si>
    <t>Status resumido do alerta</t>
  </si>
  <si>
    <t>Agrupamento dos status "Aberto"e "Pendente" no SNA</t>
  </si>
  <si>
    <t>Em andamento</t>
  </si>
  <si>
    <t>Agrupamento dos status "Glosado", "Abuso","Fraude", "Falso positivo","Liberado" e "Inconclusivo" no SNA</t>
  </si>
  <si>
    <t>Finalizados</t>
  </si>
  <si>
    <t>Status de alertas que não se enquadram como Finalizados ou Em andamento</t>
  </si>
  <si>
    <t>Indefinido</t>
  </si>
  <si>
    <t>Valor da solicitação do sinistro</t>
  </si>
  <si>
    <t>Valores</t>
  </si>
  <si>
    <t>Valor informado/Avisado</t>
  </si>
  <si>
    <t>Valor pago ao segurado ou prestador referente ao sinistro</t>
  </si>
  <si>
    <t>Valor pago</t>
  </si>
  <si>
    <t>NovoObjectID</t>
  </si>
  <si>
    <t>YDGtJRD</t>
  </si>
  <si>
    <t>AYgfBwz</t>
  </si>
  <si>
    <t>SYxmJUq</t>
  </si>
  <si>
    <t>MApSLe</t>
  </si>
  <si>
    <t>Qxurn</t>
  </si>
  <si>
    <t>3cf1</t>
  </si>
  <si>
    <t>3cf2</t>
  </si>
  <si>
    <t>3cf3</t>
  </si>
  <si>
    <t>fCypWS</t>
  </si>
  <si>
    <t>mKFkPhm</t>
  </si>
  <si>
    <t>6bF1</t>
  </si>
  <si>
    <t>undefined - undefined - undefined</t>
  </si>
  <si>
    <t>QXurn</t>
  </si>
  <si>
    <t>Informações sobre o Painel</t>
  </si>
  <si>
    <t>MYDHjEE</t>
  </si>
  <si>
    <t>Antigo</t>
  </si>
  <si>
    <t>Novo</t>
  </si>
  <si>
    <t>2aF1</t>
  </si>
  <si>
    <t>4aF1</t>
  </si>
  <si>
    <t>4aF2</t>
  </si>
  <si>
    <t>Medida Simples S Distinct</t>
  </si>
  <si>
    <t>_C7Day_db</t>
  </si>
  <si>
    <t>DIM_CALENDARIO</t>
  </si>
  <si>
    <t>_C30Day_db</t>
  </si>
  <si>
    <t>_CMath_db</t>
  </si>
  <si>
    <t>_CMonth_db</t>
  </si>
  <si>
    <t>_CSem_db</t>
  </si>
  <si>
    <t>_CToday_db</t>
  </si>
  <si>
    <t>_CTrim_db</t>
  </si>
  <si>
    <t>_CY_db</t>
  </si>
  <si>
    <t>_CYtd_db</t>
  </si>
  <si>
    <t>_CYtdFechado_db</t>
  </si>
  <si>
    <t>_PMath_db</t>
  </si>
  <si>
    <t>_PMonth_db</t>
  </si>
  <si>
    <t>_PSem_db</t>
  </si>
  <si>
    <t>_PTrim_db</t>
  </si>
  <si>
    <t>_PY_db</t>
  </si>
  <si>
    <t>_PYtd_db</t>
  </si>
  <si>
    <t>_PYtdFechado_db</t>
  </si>
  <si>
    <t>%OrderDate</t>
  </si>
  <si>
    <t>FATO_DIARIOBORDO</t>
  </si>
  <si>
    <t>CMV</t>
  </si>
  <si>
    <t>COD_BAND_GMR</t>
  </si>
  <si>
    <t>DIM_MATERIAIS</t>
  </si>
  <si>
    <t>COD_EAN_MATERIAL</t>
  </si>
  <si>
    <t>COD_FORNECEDOR_PFAT</t>
  </si>
  <si>
    <t>COD_MATERIAL_SAP</t>
  </si>
  <si>
    <t>COMPRADOR</t>
  </si>
  <si>
    <t>DIM_COMPRADOR</t>
  </si>
  <si>
    <t>Day_db</t>
  </si>
  <si>
    <t>Day_of_Week_db</t>
  </si>
  <si>
    <t>Day_of_Week_Name_db</t>
  </si>
  <si>
    <t>DE_VLR_ESTOQUE_PF</t>
  </si>
  <si>
    <t>DE_VLR_VPF_PROJETADA</t>
  </si>
  <si>
    <t>DES_BAND_FORNECEDOR</t>
  </si>
  <si>
    <t>DES_BAND_GMR</t>
  </si>
  <si>
    <t>DES_CD</t>
  </si>
  <si>
    <t>DES_ORIGEM</t>
  </si>
  <si>
    <t>Desconto</t>
  </si>
  <si>
    <t>GERENTE_CATEGORIA</t>
  </si>
  <si>
    <t>GERENTE_COMPRAS</t>
  </si>
  <si>
    <t>ID_LEADTIME</t>
  </si>
  <si>
    <t>IDENT_FORNECEDOR</t>
  </si>
  <si>
    <t>Key Cod Mat CD</t>
  </si>
  <si>
    <t>Key_COMPRADOR</t>
  </si>
  <si>
    <t>MAPA_VLR_ESTOQUELIVRE</t>
  </si>
  <si>
    <t>MAPA_VLR_ESTOQUETOTAL</t>
  </si>
  <si>
    <t>MAPA_VLR_MEDIAPOND</t>
  </si>
  <si>
    <t>Month_db</t>
  </si>
  <si>
    <t>Month_Number_db</t>
  </si>
  <si>
    <t>MonthName_db</t>
  </si>
  <si>
    <t>NME_MATERIAL</t>
  </si>
  <si>
    <t>NomeEmpresa</t>
  </si>
  <si>
    <t>Pacote</t>
  </si>
  <si>
    <t>PC_FATOR_PONDERA</t>
  </si>
  <si>
    <t>PC_VLR_PRZ_COMPRA_TOT</t>
  </si>
  <si>
    <t>Pond. Fat ate Entrega</t>
  </si>
  <si>
    <t>Pond. Interno</t>
  </si>
  <si>
    <t>Pond. Ped ate Fat</t>
  </si>
  <si>
    <t>QTD</t>
  </si>
  <si>
    <t>QTD_ESTOQUE</t>
  </si>
  <si>
    <t>QTD_PROJETADO</t>
  </si>
  <si>
    <t>Quarter_db</t>
  </si>
  <si>
    <t>Semester_db</t>
  </si>
  <si>
    <t>TIPO_OPERACAO_VENDAS</t>
  </si>
  <si>
    <t>TIPOVENDA</t>
  </si>
  <si>
    <t>TOTAL_CONTABIL_PV</t>
  </si>
  <si>
    <t>TOTAL_PONDERADO_PV</t>
  </si>
  <si>
    <t>ULT_COD_SCRUZ</t>
  </si>
  <si>
    <t>Valor Liq. NF BRL</t>
  </si>
  <si>
    <t>Valor Liq. NF BRL Interno</t>
  </si>
  <si>
    <t>VB</t>
  </si>
  <si>
    <t>VB_DEVOL</t>
  </si>
  <si>
    <t>VB_PROJETADO</t>
  </si>
  <si>
    <t>VLR_COM_REBATE</t>
  </si>
  <si>
    <t>VLR_ESTOQUE_PF</t>
  </si>
  <si>
    <t>VLR_VPF_3MESES</t>
  </si>
  <si>
    <t>VLR_VPF_ESTOQUE_LIVRE</t>
  </si>
  <si>
    <t>VLR_VPF_PROJETADA</t>
  </si>
  <si>
    <t>VPF</t>
  </si>
  <si>
    <t>VPF_PROJETADO</t>
  </si>
  <si>
    <t>Week_db</t>
  </si>
  <si>
    <t>Week_of_Year_db</t>
  </si>
  <si>
    <t>Year_db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</si>
</sst>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2"/>
      <color rgb="FF545352"/>
      <name val="Arial"/>
      <family val="2"/>
    </font>
    <font>
      <sz val="1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A5A5A5"/>
      </patternFill>
    </fill>
  </fills>
  <borders count="1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thin">
        <color theme="4" tint="0.39997558519241921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rgb="FFCCCCCC"/>
      </left>
      <right style="medium">
        <color rgb="FFCCCCCC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4" borderId="11" applyNumberFormat="0" applyAlignment="0" applyProtection="0"/>
  </cellStyleXfs>
  <cellXfs count="60">
    <xf numFmtId="0" fontId="0" fillId="0" borderId="0" xfId="0"/>
    <xf numFmtId="0" fontId="0" fillId="0" borderId="0" xfId="0" applyBorder="1"/>
    <xf numFmtId="0" fontId="0" fillId="0" borderId="0" xfId="0" applyNumberFormat="1"/>
    <xf numFmtId="0" fontId="0" fillId="0" borderId="0" xfId="0" applyNumberForma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Font="1" applyBorder="1"/>
    <xf numFmtId="0" fontId="0" fillId="2" borderId="0" xfId="0" applyFont="1" applyFill="1" applyBorder="1"/>
    <xf numFmtId="49" fontId="0" fillId="0" borderId="0" xfId="0" applyNumberFormat="1" applyFont="1" applyBorder="1"/>
    <xf numFmtId="0" fontId="0" fillId="0" borderId="0" xfId="0" applyBorder="1" applyAlignment="1">
      <alignment vertical="center"/>
    </xf>
    <xf numFmtId="0" fontId="2" fillId="3" borderId="10" xfId="0" applyFont="1" applyFill="1" applyBorder="1"/>
    <xf numFmtId="0" fontId="0" fillId="0" borderId="5" xfId="0" applyFont="1" applyBorder="1"/>
    <xf numFmtId="0" fontId="0" fillId="0" borderId="0" xfId="0"/>
    <xf numFmtId="0" fontId="0" fillId="0" borderId="0" xfId="0" applyAlignment="1">
      <alignment wrapText="1"/>
    </xf>
    <xf numFmtId="0" fontId="0" fillId="0" borderId="1" xfId="0" applyNumberFormat="1" applyFont="1" applyBorder="1"/>
    <xf numFmtId="0" fontId="4" fillId="0" borderId="12" xfId="0" applyFont="1" applyBorder="1" applyAlignment="1">
      <alignment horizontal="left" vertical="top"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0" fontId="7" fillId="0" borderId="0" xfId="0" applyFont="1"/>
    <xf numFmtId="0" fontId="6" fillId="0" borderId="0" xfId="0" applyFont="1" applyAlignment="1">
      <alignment horizontal="center"/>
    </xf>
    <xf numFmtId="0" fontId="2" fillId="4" borderId="11" xfId="1" applyAlignment="1">
      <alignment horizontal="left" vertical="center" wrapText="1"/>
    </xf>
    <xf numFmtId="0" fontId="0" fillId="0" borderId="0" xfId="0" quotePrefix="1"/>
    <xf numFmtId="0" fontId="8" fillId="0" borderId="0" xfId="0" applyFont="1" applyAlignment="1">
      <alignment wrapText="1"/>
    </xf>
    <xf numFmtId="0" fontId="0" fillId="0" borderId="0" xfId="0" applyNumberFormat="1" applyFont="1"/>
    <xf numFmtId="0" fontId="0" fillId="0" borderId="3" xfId="0" applyFont="1" applyBorder="1" applyAlignment="1">
      <alignment wrapText="1"/>
    </xf>
    <xf numFmtId="0" fontId="0" fillId="0" borderId="3" xfId="0" applyNumberFormat="1" applyBorder="1" applyAlignment="1">
      <alignment wrapText="1"/>
    </xf>
    <xf numFmtId="0" fontId="0" fillId="2" borderId="13" xfId="0" applyNumberFormat="1" applyFill="1" applyBorder="1" applyAlignment="1">
      <alignment wrapText="1"/>
    </xf>
    <xf numFmtId="0" fontId="0" fillId="0" borderId="1" xfId="0" applyFont="1" applyBorder="1"/>
    <xf numFmtId="0" fontId="0" fillId="0" borderId="10" xfId="0" applyFont="1" applyBorder="1"/>
    <xf numFmtId="0" fontId="0" fillId="0" borderId="4" xfId="0" applyFont="1" applyBorder="1"/>
    <xf numFmtId="0" fontId="0" fillId="0" borderId="4" xfId="0" applyBorder="1"/>
    <xf numFmtId="0" fontId="9" fillId="0" borderId="0" xfId="0" applyFont="1" applyAlignment="1">
      <alignment vertical="center"/>
    </xf>
    <xf numFmtId="0" fontId="0" fillId="2" borderId="1" xfId="0" applyFont="1" applyFill="1" applyBorder="1"/>
    <xf numFmtId="0" fontId="4" fillId="0" borderId="14" xfId="0" applyFont="1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  <xf numFmtId="0" fontId="0" fillId="2" borderId="16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6" xfId="0" applyBorder="1"/>
    <xf numFmtId="0" fontId="0" fillId="2" borderId="15" xfId="0" applyFill="1" applyBorder="1" applyAlignment="1">
      <alignment wrapText="1"/>
    </xf>
    <xf numFmtId="0" fontId="0" fillId="0" borderId="15" xfId="0" applyBorder="1" applyAlignment="1">
      <alignment wrapText="1"/>
    </xf>
    <xf numFmtId="0" fontId="8" fillId="0" borderId="15" xfId="0" applyFont="1" applyBorder="1" applyAlignment="1">
      <alignment wrapText="1"/>
    </xf>
    <xf numFmtId="0" fontId="8" fillId="2" borderId="15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4" xfId="0" applyFill="1" applyBorder="1" applyAlignment="1">
      <alignment horizontal="left" vertical="center"/>
    </xf>
    <xf numFmtId="0" fontId="0" fillId="2" borderId="4" xfId="0" applyFill="1" applyBorder="1"/>
    <xf numFmtId="0" fontId="0" fillId="2" borderId="17" xfId="0" applyFill="1" applyBorder="1"/>
    <xf numFmtId="0" fontId="8" fillId="0" borderId="0" xfId="0" applyFont="1" applyBorder="1" applyAlignment="1">
      <alignment wrapText="1"/>
    </xf>
    <xf numFmtId="0" fontId="0" fillId="0" borderId="0" xfId="0" applyBorder="1" applyAlignment="1">
      <alignment horizontal="left" vertical="center"/>
    </xf>
    <xf numFmtId="0" fontId="0" fillId="0" borderId="0" xfId="0"/>
    <xf numFmtId="0" fontId="0" fillId="2" borderId="18" xfId="0" applyNumberFormat="1" applyFill="1" applyBorder="1" applyAlignment="1">
      <alignment wrapText="1"/>
    </xf>
    <xf numFmtId="0" fontId="0" fillId="0" borderId="3" xfId="0" applyBorder="1" applyAlignment="1">
      <alignment wrapText="1"/>
    </xf>
  </cellXfs>
  <cellStyles count="2">
    <cellStyle name="Célula de Verificação" xfId="1" builtinId="23"/>
    <cellStyle name="Normal" xfId="0" builtinId="0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DDDDDD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/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DDDDDD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top style="medium">
          <color rgb="FFDDDDDD"/>
        </top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border outline="0"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DDDDDD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numFmt numFmtId="0" formatCode="General"/>
    </dxf>
    <dxf>
      <border outline="0"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0" formatCode="General"/>
    </dxf>
    <dxf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/>
        <vertical/>
        <horizontal/>
      </border>
    </dxf>
    <dxf>
      <numFmt numFmtId="0" formatCode="General"/>
    </dxf>
    <dxf>
      <numFmt numFmtId="0" formatCode="General"/>
    </dxf>
    <dxf>
      <border outline="0">
        <bottom style="medium">
          <color rgb="FFCCCCCC"/>
        </bottom>
      </border>
    </dxf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/>
        <vertical/>
        <horizontal/>
      </border>
    </dxf>
    <dxf>
      <numFmt numFmtId="0" formatCode="General"/>
    </dxf>
    <dxf>
      <numFmt numFmtId="0" formatCode="General"/>
    </dxf>
    <dxf>
      <border outline="0">
        <bottom style="medium">
          <color rgb="FFCCCCCC"/>
        </bottom>
      </border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edidas" displayName="Medidas" ref="A1:I38" totalsRowShown="0">
  <autoFilter ref="A1:I38"/>
  <tableColumns count="9">
    <tableColumn id="10" name="$MedidaID"/>
    <tableColumn id="1" name="$Nome da Variavel" dataDxfId="93"/>
    <tableColumn id="9" name="Nome Medida" dataDxfId="92"/>
    <tableColumn id="6" name="Grupo de Medida" dataDxfId="91"/>
    <tableColumn id="2" name="$Calculo Medida" dataDxfId="90"/>
    <tableColumn id="3" name="$Conjunto de Exibição" dataDxfId="89"/>
    <tableColumn id="4" name="$Formato Resultado" dataDxfId="88"/>
    <tableColumn id="11" name="$Dimensão Configurada" dataDxfId="87"/>
    <tableColumn id="5" name="Personalizado" dataDxfId="86">
      <calculatedColumnFormula>VLOOKUP(Medidas[[#This Row],[$MedidaID]],MedidasAbas[[#All],[$MedidaID]:[$Abas Classificar]],2,FALSE)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MedidasAbas" displayName="MedidasAbas" ref="A1:E12" totalsRowShown="0" headerRowDxfId="85" headerRowBorderDxfId="84" tableBorderDxfId="83" totalsRowBorderDxfId="82">
  <autoFilter ref="A1:E12"/>
  <tableColumns count="5">
    <tableColumn id="1" name="$Ordem Visualização Medida"/>
    <tableColumn id="5" name="$MedidaID"/>
    <tableColumn id="2" name="$Nome da Variavel" dataDxfId="81">
      <calculatedColumnFormula>VLOOKUP(MedidasAbas[[#This Row],[$MedidaID]],Medidas[#All],3,FALSE)</calculatedColumnFormula>
    </tableColumn>
    <tableColumn id="3" name="Calculos de Medidas" dataDxfId="80">
      <calculatedColumnFormula>VLOOKUP(MedidasAbas[[#This Row],[$MedidaID]],Medidas[#All],5,FALSE)</calculatedColumnFormula>
    </tableColumn>
    <tableColumn id="4" name="$Abas Classific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8" name="ApenasDimensao" displayName="ApenasDimensao" ref="A1:I80" totalsRowShown="0" tableBorderDxfId="40">
  <autoFilter ref="A1:I80"/>
  <sortState ref="A2:I80">
    <sortCondition ref="B5"/>
  </sortState>
  <tableColumns count="9">
    <tableColumn id="4" name="$Ordem Visualizar Dimensão" dataDxfId="39"/>
    <tableColumn id="3" name="$DimensaoID" dataDxfId="38"/>
    <tableColumn id="14" name="Rotulo Dimensão" dataDxfId="37"/>
    <tableColumn id="1" name=" Dimensão" dataDxfId="36"/>
    <tableColumn id="12" name="$Tipo Calculo da Dimensão" dataDxfId="35"/>
    <tableColumn id="9" name="GrupoDaDimensao" dataDxfId="34"/>
    <tableColumn id="10" name="procurarNoMerge" dataDxfId="33">
      <calculatedColumnFormula>VLOOKUP(ApenasDimensao[[#This Row],[ Dimensão]],mergecampos[#All],1,FALSE)</calculatedColumnFormula>
    </tableColumn>
    <tableColumn id="6" name="DimensaoID2" dataDxfId="32">
      <calculatedColumnFormula>ApenasDimensao[[#This Row],[$DimensaoID]]</calculatedColumnFormula>
    </tableColumn>
    <tableColumn id="8" name="Table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0" name="AbasDimensao" displayName="AbasDimensao" ref="A1:G80" totalsRowShown="0" tableBorderDxfId="79">
  <autoFilter ref="A1:G80"/>
  <tableColumns count="7">
    <tableColumn id="3" name=" $Ordem Visualizar Dimensão" dataDxfId="78"/>
    <tableColumn id="16" name="$DimensaoID" dataDxfId="77"/>
    <tableColumn id="1" name=" Dimensão" dataDxfId="76"/>
    <tableColumn id="2" name="Grupo Para Analise" dataDxfId="75"/>
    <tableColumn id="15" name="$Exibir Abas" dataDxfId="74"/>
    <tableColumn id="4" name="Coluna1" dataDxfId="73">
      <calculatedColumnFormula>AbasDimensao[[#This Row],[$DimensaoID]]</calculatedColumnFormula>
    </tableColumn>
    <tableColumn id="5" name="tem" dataDxfId="72">
      <calculatedColumnFormula>VLOOKUP(AbasDimensao[[#This Row],[$DimensaoID]],#REF!,1,FALSE)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9" name="ConfigDimensao" displayName="ConfigDimensao" ref="A1:E10" totalsRowShown="0" tableBorderDxfId="71">
  <autoFilter ref="A1:E10"/>
  <sortState ref="A2:E27">
    <sortCondition ref="D1:D27"/>
  </sortState>
  <tableColumns count="5">
    <tableColumn id="3" name=" $Ordem Visualizar Dimensão" dataDxfId="70"/>
    <tableColumn id="16" name="$DimensaoID" dataDxfId="69"/>
    <tableColumn id="1" name=" Dimensão" dataDxfId="68"/>
    <tableColumn id="2" name=" Grupo de Dimensão" dataDxfId="67"/>
    <tableColumn id="4" name="duplicidade" dataDxfId="66">
      <calculatedColumnFormula>ConfigDimensao[[#This Row],[$DimensaoID]]&amp;ConfigDimensao[[#This Row],[ Grupo de Dimensão]]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2" name="mergecampos" displayName="mergecampos" ref="A1:C83" totalsRowShown="0" headerRowDxfId="65" headerRowBorderDxfId="64" tableBorderDxfId="63" totalsRowBorderDxfId="62">
  <autoFilter ref="A1:C83"/>
  <tableColumns count="3">
    <tableColumn id="1" name="$Field"/>
    <tableColumn id="2" name="$Table"/>
    <tableColumn id="3" name="procurarHighUsers" dataDxfId="61">
      <calculatedColumnFormula>VLOOKUP(mergecampos[[#This Row],[$Field]],ApenasDimensao[[#All],[ Dimensão]:[Table]],1,FALSE)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5" name="MergeExpressoes" displayName="MergeExpressoes" ref="B1:C401" totalsRowShown="0">
  <autoFilter ref="B1:C401"/>
  <sortState ref="B2:C401">
    <sortCondition ref="C2:C401"/>
  </sortState>
  <tableColumns count="2">
    <tableColumn id="1" name="VariableNameDentroCSV"/>
    <tableColumn id="2" name="DentroOriginal" dataDxfId="60">
      <calculatedColumnFormula>VLOOKUP(MergeExpressoes[[#This Row],[VariableNameDentroCSV]],Medidas[#All],1,FALSE)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3" name="Regras" displayName="Regras" ref="A1:L78" totalsRowShown="0">
  <autoFilter ref="A1:L78"/>
  <tableColumns count="12">
    <tableColumn id="1" name="Descrição Regras" dataDxfId="59"/>
    <tableColumn id="2" name="Tipo Informação Regras"/>
    <tableColumn id="3" name="Nome Informação Regras"/>
    <tableColumn id="4" name="Tags Regras"/>
    <tableColumn id="5" name="Status"/>
    <tableColumn id="6" name="prioridade"/>
    <tableColumn id="7" name="ObjectID"/>
    <tableColumn id="8" name="TipoObjeto" dataDxfId="58">
      <calculatedColumnFormula>VLOOKUP(Regras[[#This Row],[ObjectID]],ExporExpressoesDimensoesPainel[[ID OBJ]:[abaname]],3,FALSE)</calculatedColumnFormula>
    </tableColumn>
    <tableColumn id="9" name="sheetname" dataDxfId="57">
      <calculatedColumnFormula>VLOOKUP(Regras[[#This Row],[ObjectID]],ExporExpressoesDimensoesPainel[[ID OBJ]:[abaname]],8,FALSE)</calculatedColumnFormula>
    </tableColumn>
    <tableColumn id="10" name="Coluna1"/>
    <tableColumn id="11" name="Ordem De Exibição"/>
    <tableColumn id="12" name="NovoObjectI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4" name="ExporExpressoesDimensoesPainel" displayName="ExporExpressoesDimensoesPainel" ref="A1:J155" totalsRowShown="0" headerRowDxfId="56" headerRowBorderDxfId="55">
  <autoFilter ref="A1:J155"/>
  <sortState ref="A2:J155">
    <sortCondition ref="B2:B155"/>
  </sortState>
  <tableColumns count="10">
    <tableColumn id="1" name="ABA"/>
    <tableColumn id="2" name="ID OBJ"/>
    <tableColumn id="3" name="Titulo"/>
    <tableColumn id="4" name="TIPO"/>
    <tableColumn id="5" name="TIPO2"/>
    <tableColumn id="6" name="TIPO3"/>
    <tableColumn id="7" name="Colunasapoio"/>
    <tableColumn id="8" name="Descrição do Objeto"/>
    <tableColumn id="9" name="abaname" dataDxfId="54">
      <calculatedColumnFormula>ExporExpressoesDimensoesPainel[[#This Row],[ABA]]</calculatedColumnFormula>
    </tableColumn>
    <tableColumn id="10" name="Coluna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2" name="ImportDimensoes" displayName="ImportDimensoes" ref="A1:G25" totalsRowShown="0" headerRowDxfId="53">
  <autoFilter ref="A1:G25"/>
  <sortState ref="A2:G25">
    <sortCondition ref="C18:C25"/>
  </sortState>
  <tableColumns count="7">
    <tableColumn id="1" name="%MI%DimensionField" dataDxfId="52"/>
    <tableColumn id="2" name="%MI%DimensionName"/>
    <tableColumn id="3" name=" %MI%DimensionLabelExpression" dataDxfId="51"/>
    <tableColumn id="4" name="%MI%DimensionDescription"/>
    <tableColumn id="5" name="%MI%DimensionColor"/>
    <tableColumn id="6" name="%MI%DimensionTags"/>
    <tableColumn id="7" name="%MI%DimensionI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3" name="DimensaoExistente" displayName="DimensaoExistente" ref="A1:H43" totalsRowShown="0">
  <autoFilter ref="A1:H43"/>
  <tableColumns count="8">
    <tableColumn id="1" name="%MI%DimensionField"/>
    <tableColumn id="2" name="%MI%DimensionName"/>
    <tableColumn id="3" name="%MI%DimensionLabelExpression"/>
    <tableColumn id="4" name="%MI%DimensionDescription"/>
    <tableColumn id="5" name="%MI%DimensionColor"/>
    <tableColumn id="6" name="%MI%DimensionTags"/>
    <tableColumn id="7" name="%MI%DimensionId"/>
    <tableColumn id="8" name="jaexiste" dataDxfId="50">
      <calculatedColumnFormula>VLOOKUP(DimensaoExistente[[#This Row],[%MI%DimensionField]],ImportDimensoes[#All],1,FALSE)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1" name="ImportMeasures" displayName="ImportMeasures" ref="A1:K47" totalsRowShown="0" headerRowDxfId="49">
  <autoFilter ref="A1:K47"/>
  <tableColumns count="11">
    <tableColumn id="1" name="%MI%MeasureExpression"/>
    <tableColumn id="2" name="%MI%MeasureName"/>
    <tableColumn id="3" name=" %MI%MeasureLabelExpression"/>
    <tableColumn id="4" name="%MI%MeasureDescription"/>
    <tableColumn id="5" name="%MI%MeasureColor"/>
    <tableColumn id="6" name="%MI%MeasureTags"/>
    <tableColumn id="7" name="%MI%MeasureSegmentColor"/>
    <tableColumn id="8" name="%MI%MeasureSegmentColorFormat"/>
    <tableColumn id="9" name="%MI%MeasureId"/>
    <tableColumn id="11" name="Format" dataDxfId="48"/>
    <tableColumn id="10" name="Coluna1" dataDxfId="4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7" name="Tabela4" displayName="Tabela4" ref="A1:C66" totalsRowShown="0" headerRowDxfId="46" headerRowBorderDxfId="45" tableBorderDxfId="44" totalsRowBorderDxfId="43">
  <autoFilter ref="A1:C66"/>
  <tableColumns count="3">
    <tableColumn id="1" name="Coluna1" dataDxfId="42"/>
    <tableColumn id="2" name="Coluna2" dataDxfId="41"/>
    <tableColumn id="3" name="já éitem mest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opLeftCell="C1" zoomScaleNormal="100" workbookViewId="0">
      <selection activeCell="F2" sqref="F2"/>
    </sheetView>
  </sheetViews>
  <sheetFormatPr defaultRowHeight="14.5" x14ac:dyDescent="0.35"/>
  <cols>
    <col min="1" max="1" width="23.26953125" customWidth="1"/>
    <col min="2" max="2" width="53" customWidth="1"/>
    <col min="3" max="3" width="42.453125" customWidth="1"/>
    <col min="4" max="4" width="21.1796875" customWidth="1"/>
    <col min="5" max="5" width="28.81640625" customWidth="1"/>
    <col min="6" max="6" width="31.81640625" customWidth="1"/>
    <col min="7" max="8" width="28.26953125" customWidth="1"/>
  </cols>
  <sheetData>
    <row r="1" spans="1:9" x14ac:dyDescent="0.35">
      <c r="A1" t="s">
        <v>485</v>
      </c>
      <c r="B1" t="s">
        <v>98</v>
      </c>
      <c r="C1" t="s">
        <v>49</v>
      </c>
      <c r="D1" t="s">
        <v>97</v>
      </c>
      <c r="E1" t="s">
        <v>473</v>
      </c>
      <c r="F1" t="s">
        <v>99</v>
      </c>
      <c r="G1" t="s">
        <v>100</v>
      </c>
      <c r="H1" t="s">
        <v>483</v>
      </c>
      <c r="I1" t="s">
        <v>840</v>
      </c>
    </row>
    <row r="2" spans="1:9" x14ac:dyDescent="0.35">
      <c r="A2">
        <v>2</v>
      </c>
      <c r="B2" s="10" t="s">
        <v>778</v>
      </c>
      <c r="C2" s="10" t="s">
        <v>277</v>
      </c>
      <c r="D2" s="10" t="s">
        <v>218</v>
      </c>
      <c r="E2" s="10" t="s">
        <v>277</v>
      </c>
      <c r="F2" s="10" t="s">
        <v>47</v>
      </c>
      <c r="G2" s="12" t="s">
        <v>852</v>
      </c>
      <c r="H2" s="10" t="s">
        <v>277</v>
      </c>
      <c r="I2" s="35" t="str">
        <f>VLOOKUP(Medidas[[#This Row],[$MedidaID]],MedidasAbas[[#All],[$MedidaID]:[$Abas Classificar]],2,FALSE)</f>
        <v>Contar</v>
      </c>
    </row>
    <row r="3" spans="1:9" x14ac:dyDescent="0.35">
      <c r="A3">
        <v>4</v>
      </c>
      <c r="B3" s="10" t="s">
        <v>779</v>
      </c>
      <c r="C3" s="10" t="s">
        <v>493</v>
      </c>
      <c r="D3" s="10" t="s">
        <v>218</v>
      </c>
      <c r="E3" s="10" t="s">
        <v>494</v>
      </c>
      <c r="F3" s="10" t="s">
        <v>47</v>
      </c>
      <c r="G3" s="12" t="s">
        <v>852</v>
      </c>
      <c r="H3" s="1" t="s">
        <v>297</v>
      </c>
      <c r="I3" s="34" t="e">
        <f>VLOOKUP(Medidas[[#This Row],[$MedidaID]],MedidasAbas[[#All],[$MedidaID]:[$Abas Classificar]],2,FALSE)</f>
        <v>#N/A</v>
      </c>
    </row>
    <row r="4" spans="1:9" x14ac:dyDescent="0.35">
      <c r="A4">
        <v>9</v>
      </c>
      <c r="B4" s="10" t="s">
        <v>780</v>
      </c>
      <c r="C4" s="10" t="s">
        <v>265</v>
      </c>
      <c r="D4" s="10" t="s">
        <v>218</v>
      </c>
      <c r="E4" s="10" t="s">
        <v>265</v>
      </c>
      <c r="F4" s="10" t="s">
        <v>47</v>
      </c>
      <c r="G4" s="12" t="s">
        <v>852</v>
      </c>
      <c r="H4" s="1" t="s">
        <v>297</v>
      </c>
      <c r="I4" s="34" t="str">
        <f>VLOOKUP(Medidas[[#This Row],[$MedidaID]],MedidasAbas[[#All],[$MedidaID]:[$Abas Classificar]],2,FALSE)</f>
        <v>Mediana</v>
      </c>
    </row>
    <row r="5" spans="1:9" x14ac:dyDescent="0.35">
      <c r="A5">
        <v>10</v>
      </c>
      <c r="B5" s="10" t="s">
        <v>781</v>
      </c>
      <c r="C5" s="10" t="s">
        <v>266</v>
      </c>
      <c r="D5" s="10" t="s">
        <v>218</v>
      </c>
      <c r="E5" s="10" t="s">
        <v>266</v>
      </c>
      <c r="F5" s="10" t="s">
        <v>47</v>
      </c>
      <c r="G5" s="12" t="s">
        <v>852</v>
      </c>
      <c r="H5" s="1" t="s">
        <v>297</v>
      </c>
      <c r="I5" s="34" t="str">
        <f>VLOOKUP(Medidas[[#This Row],[$MedidaID]],MedidasAbas[[#All],[$MedidaID]:[$Abas Classificar]],2,FALSE)</f>
        <v>Moda</v>
      </c>
    </row>
    <row r="6" spans="1:9" x14ac:dyDescent="0.35">
      <c r="A6">
        <v>11</v>
      </c>
      <c r="B6" s="10" t="s">
        <v>782</v>
      </c>
      <c r="C6" s="10" t="s">
        <v>48</v>
      </c>
      <c r="D6" s="10" t="s">
        <v>218</v>
      </c>
      <c r="E6" s="10" t="s">
        <v>297</v>
      </c>
      <c r="F6" s="10" t="s">
        <v>47</v>
      </c>
      <c r="G6" s="12" t="s">
        <v>852</v>
      </c>
      <c r="H6" s="10" t="s">
        <v>297</v>
      </c>
      <c r="I6" s="34" t="str">
        <f>VLOOKUP(Medidas[[#This Row],[$MedidaID]],MedidasAbas[[#All],[$MedidaID]:[$Abas Classificar]],2,FALSE)</f>
        <v>Média</v>
      </c>
    </row>
    <row r="7" spans="1:9" x14ac:dyDescent="0.35">
      <c r="A7">
        <v>16</v>
      </c>
      <c r="B7" s="10" t="s">
        <v>784</v>
      </c>
      <c r="C7" s="10" t="s">
        <v>272</v>
      </c>
      <c r="D7" s="10" t="s">
        <v>218</v>
      </c>
      <c r="E7" s="10" t="s">
        <v>842</v>
      </c>
      <c r="F7" s="10" t="s">
        <v>47</v>
      </c>
      <c r="G7" s="12" t="s">
        <v>852</v>
      </c>
      <c r="H7" s="1" t="s">
        <v>297</v>
      </c>
      <c r="I7" s="34" t="str">
        <f>VLOOKUP(Medidas[[#This Row],[$MedidaID]],MedidasAbas[[#All],[$MedidaID]:[$Abas Classificar]],2,FALSE)</f>
        <v>Media S/ Q1 e Q3</v>
      </c>
    </row>
    <row r="8" spans="1:9" x14ac:dyDescent="0.35">
      <c r="A8">
        <v>17</v>
      </c>
      <c r="B8" s="10" t="s">
        <v>785</v>
      </c>
      <c r="C8" s="10" t="s">
        <v>273</v>
      </c>
      <c r="D8" s="10" t="s">
        <v>218</v>
      </c>
      <c r="E8" s="10" t="s">
        <v>844</v>
      </c>
      <c r="F8" s="10" t="s">
        <v>47</v>
      </c>
      <c r="G8" s="12" t="s">
        <v>852</v>
      </c>
      <c r="H8" s="1" t="s">
        <v>297</v>
      </c>
      <c r="I8" s="34" t="str">
        <f>VLOOKUP(Medidas[[#This Row],[$MedidaID]],MedidasAbas[[#All],[$MedidaID]:[$Abas Classificar]],2,FALSE)</f>
        <v>Moda S/ Q1 e Q3</v>
      </c>
    </row>
    <row r="9" spans="1:9" x14ac:dyDescent="0.35">
      <c r="A9">
        <v>18</v>
      </c>
      <c r="B9" s="10" t="s">
        <v>786</v>
      </c>
      <c r="C9" s="10" t="s">
        <v>274</v>
      </c>
      <c r="D9" s="10" t="s">
        <v>218</v>
      </c>
      <c r="E9" s="10" t="s">
        <v>843</v>
      </c>
      <c r="F9" s="10" t="s">
        <v>47</v>
      </c>
      <c r="G9" s="12" t="s">
        <v>852</v>
      </c>
      <c r="H9" s="1" t="s">
        <v>297</v>
      </c>
      <c r="I9" s="34" t="str">
        <f>VLOOKUP(Medidas[[#This Row],[$MedidaID]],MedidasAbas[[#All],[$MedidaID]:[$Abas Classificar]],2,FALSE)</f>
        <v>Mediana S/ Q1 e Q3</v>
      </c>
    </row>
    <row r="10" spans="1:9" x14ac:dyDescent="0.35">
      <c r="A10">
        <v>19</v>
      </c>
      <c r="B10" s="10" t="s">
        <v>787</v>
      </c>
      <c r="C10" s="10" t="s">
        <v>275</v>
      </c>
      <c r="D10" s="10" t="s">
        <v>218</v>
      </c>
      <c r="E10" s="10" t="s">
        <v>845</v>
      </c>
      <c r="F10" s="10" t="s">
        <v>47</v>
      </c>
      <c r="G10" s="12" t="s">
        <v>852</v>
      </c>
      <c r="H10" s="1" t="s">
        <v>297</v>
      </c>
      <c r="I10" s="34" t="str">
        <f>VLOOKUP(Medidas[[#This Row],[$MedidaID]],MedidasAbas[[#All],[$MedidaID]:[$Abas Classificar]],2,FALSE)</f>
        <v>Média Rank Qtd s/ Q1 e Q3</v>
      </c>
    </row>
    <row r="11" spans="1:9" x14ac:dyDescent="0.35">
      <c r="A11" s="16">
        <v>100</v>
      </c>
      <c r="B11" s="10" t="s">
        <v>798</v>
      </c>
      <c r="C11" s="10" t="s">
        <v>278</v>
      </c>
      <c r="D11" s="10" t="s">
        <v>218</v>
      </c>
      <c r="E11" s="10" t="s">
        <v>277</v>
      </c>
      <c r="F11" s="1" t="s">
        <v>293</v>
      </c>
      <c r="G11" s="12" t="s">
        <v>852</v>
      </c>
      <c r="H11" s="10" t="s">
        <v>277</v>
      </c>
      <c r="I11" s="34" t="e">
        <f>VLOOKUP(Medidas[[#This Row],[$MedidaID]],MedidasAbas[[#All],[$MedidaID]:[$Abas Classificar]],2,FALSE)</f>
        <v>#N/A</v>
      </c>
    </row>
    <row r="12" spans="1:9" x14ac:dyDescent="0.35">
      <c r="A12">
        <v>101</v>
      </c>
      <c r="B12" s="10" t="s">
        <v>799</v>
      </c>
      <c r="C12" s="10" t="s">
        <v>279</v>
      </c>
      <c r="D12" s="10" t="s">
        <v>218</v>
      </c>
      <c r="E12" s="10" t="s">
        <v>277</v>
      </c>
      <c r="F12" s="1" t="s">
        <v>293</v>
      </c>
      <c r="G12" s="12" t="s">
        <v>852</v>
      </c>
      <c r="H12" s="10" t="s">
        <v>277</v>
      </c>
      <c r="I12" s="34" t="e">
        <f>VLOOKUP(Medidas[[#This Row],[$MedidaID]],MedidasAbas[[#All],[$MedidaID]:[$Abas Classificar]],2,FALSE)</f>
        <v>#N/A</v>
      </c>
    </row>
    <row r="13" spans="1:9" x14ac:dyDescent="0.35">
      <c r="A13">
        <v>109</v>
      </c>
      <c r="B13" s="10" t="s">
        <v>810</v>
      </c>
      <c r="C13" s="10" t="s">
        <v>287</v>
      </c>
      <c r="D13" s="10" t="s">
        <v>218</v>
      </c>
      <c r="E13" s="10" t="s">
        <v>277</v>
      </c>
      <c r="F13" s="16" t="s">
        <v>103</v>
      </c>
      <c r="G13" s="12" t="s">
        <v>852</v>
      </c>
      <c r="H13" s="10" t="s">
        <v>277</v>
      </c>
      <c r="I13" s="34" t="e">
        <f>VLOOKUP(Medidas[[#This Row],[$MedidaID]],MedidasAbas[[#All],[$MedidaID]:[$Abas Classificar]],2,FALSE)</f>
        <v>#N/A</v>
      </c>
    </row>
    <row r="14" spans="1:9" x14ac:dyDescent="0.35">
      <c r="A14" s="16">
        <v>110</v>
      </c>
      <c r="B14" s="10" t="s">
        <v>796</v>
      </c>
      <c r="C14" s="10" t="s">
        <v>288</v>
      </c>
      <c r="D14" s="10" t="s">
        <v>218</v>
      </c>
      <c r="E14" s="10" t="s">
        <v>277</v>
      </c>
      <c r="F14" s="16" t="s">
        <v>103</v>
      </c>
      <c r="G14" s="12" t="s">
        <v>852</v>
      </c>
      <c r="H14" s="10" t="s">
        <v>277</v>
      </c>
      <c r="I14" s="34" t="e">
        <f>VLOOKUP(Medidas[[#This Row],[$MedidaID]],MedidasAbas[[#All],[$MedidaID]:[$Abas Classificar]],2,FALSE)</f>
        <v>#N/A</v>
      </c>
    </row>
    <row r="15" spans="1:9" x14ac:dyDescent="0.35">
      <c r="A15">
        <v>111</v>
      </c>
      <c r="B15" s="10" t="s">
        <v>797</v>
      </c>
      <c r="C15" s="10" t="s">
        <v>289</v>
      </c>
      <c r="D15" s="10" t="s">
        <v>218</v>
      </c>
      <c r="E15" s="10" t="s">
        <v>277</v>
      </c>
      <c r="F15" s="16" t="s">
        <v>103</v>
      </c>
      <c r="G15" s="12" t="s">
        <v>852</v>
      </c>
      <c r="H15" s="10" t="s">
        <v>277</v>
      </c>
      <c r="I15" s="34" t="e">
        <f>VLOOKUP(Medidas[[#This Row],[$MedidaID]],MedidasAbas[[#All],[$MedidaID]:[$Abas Classificar]],2,FALSE)</f>
        <v>#N/A</v>
      </c>
    </row>
    <row r="16" spans="1:9" x14ac:dyDescent="0.35">
      <c r="A16">
        <v>112</v>
      </c>
      <c r="B16" s="10" t="s">
        <v>789</v>
      </c>
      <c r="C16" s="10" t="s">
        <v>271</v>
      </c>
      <c r="D16" s="10" t="s">
        <v>218</v>
      </c>
      <c r="E16" s="10" t="s">
        <v>271</v>
      </c>
      <c r="F16" s="10" t="s">
        <v>292</v>
      </c>
      <c r="G16" s="12" t="s">
        <v>852</v>
      </c>
      <c r="H16" s="1" t="s">
        <v>297</v>
      </c>
      <c r="I16" s="34" t="e">
        <f>VLOOKUP(Medidas[[#This Row],[$MedidaID]],MedidasAbas[[#All],[$MedidaID]:[$Abas Classificar]],2,FALSE)</f>
        <v>#N/A</v>
      </c>
    </row>
    <row r="17" spans="1:9" x14ac:dyDescent="0.35">
      <c r="A17">
        <v>113</v>
      </c>
      <c r="B17" s="10" t="s">
        <v>791</v>
      </c>
      <c r="C17" s="10" t="s">
        <v>268</v>
      </c>
      <c r="D17" s="10" t="s">
        <v>218</v>
      </c>
      <c r="E17" s="10" t="s">
        <v>277</v>
      </c>
      <c r="F17" s="10" t="s">
        <v>292</v>
      </c>
      <c r="G17" s="12" t="s">
        <v>852</v>
      </c>
      <c r="H17" s="10" t="s">
        <v>277</v>
      </c>
      <c r="I17" s="34" t="e">
        <f>VLOOKUP(Medidas[[#This Row],[$MedidaID]],MedidasAbas[[#All],[$MedidaID]:[$Abas Classificar]],2,FALSE)</f>
        <v>#N/A</v>
      </c>
    </row>
    <row r="18" spans="1:9" x14ac:dyDescent="0.35">
      <c r="A18">
        <v>114</v>
      </c>
      <c r="B18" s="10" t="s">
        <v>794</v>
      </c>
      <c r="C18" s="10" t="s">
        <v>269</v>
      </c>
      <c r="D18" s="10" t="s">
        <v>218</v>
      </c>
      <c r="E18" s="10" t="s">
        <v>277</v>
      </c>
      <c r="F18" s="10" t="s">
        <v>292</v>
      </c>
      <c r="G18" s="12" t="s">
        <v>852</v>
      </c>
      <c r="H18" s="1" t="s">
        <v>297</v>
      </c>
      <c r="I18" s="34" t="e">
        <f>VLOOKUP(Medidas[[#This Row],[$MedidaID]],MedidasAbas[[#All],[$MedidaID]:[$Abas Classificar]],2,FALSE)</f>
        <v>#N/A</v>
      </c>
    </row>
    <row r="19" spans="1:9" x14ac:dyDescent="0.35">
      <c r="A19" s="16">
        <v>115</v>
      </c>
      <c r="B19" s="10" t="s">
        <v>788</v>
      </c>
      <c r="C19" s="10" t="s">
        <v>270</v>
      </c>
      <c r="D19" s="10" t="s">
        <v>218</v>
      </c>
      <c r="E19" s="10" t="s">
        <v>270</v>
      </c>
      <c r="F19" s="10" t="s">
        <v>292</v>
      </c>
      <c r="G19" s="12" t="s">
        <v>852</v>
      </c>
      <c r="H19" s="1" t="s">
        <v>297</v>
      </c>
      <c r="I19" s="34" t="e">
        <f>VLOOKUP(Medidas[[#This Row],[$MedidaID]],MedidasAbas[[#All],[$MedidaID]:[$Abas Classificar]],2,FALSE)</f>
        <v>#N/A</v>
      </c>
    </row>
    <row r="20" spans="1:9" x14ac:dyDescent="0.35">
      <c r="A20" s="16">
        <v>116</v>
      </c>
      <c r="B20" s="10" t="s">
        <v>790</v>
      </c>
      <c r="C20" s="10" t="s">
        <v>267</v>
      </c>
      <c r="D20" s="10" t="s">
        <v>218</v>
      </c>
      <c r="E20" s="10" t="s">
        <v>277</v>
      </c>
      <c r="F20" s="10" t="s">
        <v>292</v>
      </c>
      <c r="G20" s="12" t="s">
        <v>852</v>
      </c>
      <c r="H20" s="10" t="s">
        <v>277</v>
      </c>
      <c r="I20" s="34" t="e">
        <f>VLOOKUP(Medidas[[#This Row],[$MedidaID]],MedidasAbas[[#All],[$MedidaID]:[$Abas Classificar]],2,FALSE)</f>
        <v>#N/A</v>
      </c>
    </row>
    <row r="21" spans="1:9" x14ac:dyDescent="0.35">
      <c r="A21">
        <v>120</v>
      </c>
      <c r="B21" s="10" t="s">
        <v>804</v>
      </c>
      <c r="C21" s="10" t="s">
        <v>486</v>
      </c>
      <c r="D21" s="10" t="s">
        <v>218</v>
      </c>
      <c r="E21" s="10" t="s">
        <v>297</v>
      </c>
      <c r="F21" s="10" t="s">
        <v>293</v>
      </c>
      <c r="G21" s="12" t="s">
        <v>852</v>
      </c>
      <c r="H21" s="10" t="s">
        <v>297</v>
      </c>
      <c r="I21" s="34" t="e">
        <f>VLOOKUP(Medidas[[#This Row],[$MedidaID]],MedidasAbas[[#All],[$MedidaID]:[$Abas Classificar]],2,FALSE)</f>
        <v>#N/A</v>
      </c>
    </row>
    <row r="22" spans="1:9" x14ac:dyDescent="0.35">
      <c r="A22">
        <v>121</v>
      </c>
      <c r="B22" s="10" t="s">
        <v>805</v>
      </c>
      <c r="C22" s="10" t="s">
        <v>487</v>
      </c>
      <c r="D22" s="10" t="s">
        <v>218</v>
      </c>
      <c r="E22" s="10" t="s">
        <v>297</v>
      </c>
      <c r="F22" s="10" t="s">
        <v>293</v>
      </c>
      <c r="G22" s="12" t="s">
        <v>852</v>
      </c>
      <c r="H22" s="10" t="s">
        <v>297</v>
      </c>
      <c r="I22" s="34" t="e">
        <f>VLOOKUP(Medidas[[#This Row],[$MedidaID]],MedidasAbas[[#All],[$MedidaID]:[$Abas Classificar]],2,FALSE)</f>
        <v>#N/A</v>
      </c>
    </row>
    <row r="23" spans="1:9" x14ac:dyDescent="0.35">
      <c r="A23" s="1">
        <v>8031</v>
      </c>
      <c r="B23" s="10" t="s">
        <v>792</v>
      </c>
      <c r="C23" s="10" t="s">
        <v>497</v>
      </c>
      <c r="D23" s="10" t="s">
        <v>218</v>
      </c>
      <c r="E23" s="10" t="s">
        <v>841</v>
      </c>
      <c r="F23" s="10" t="s">
        <v>47</v>
      </c>
      <c r="G23" s="12" t="s">
        <v>852</v>
      </c>
      <c r="H23" s="10" t="s">
        <v>499</v>
      </c>
      <c r="I23" s="34" t="e">
        <f>VLOOKUP(Medidas[[#This Row],[$MedidaID]],MedidasAbas[[#All],[$MedidaID]:[$Abas Classificar]],2,FALSE)</f>
        <v>#N/A</v>
      </c>
    </row>
    <row r="24" spans="1:9" x14ac:dyDescent="0.35">
      <c r="A24" s="1">
        <v>8032</v>
      </c>
      <c r="B24" s="10" t="s">
        <v>793</v>
      </c>
      <c r="C24" s="10" t="s">
        <v>498</v>
      </c>
      <c r="D24" s="10" t="s">
        <v>218</v>
      </c>
      <c r="E24" s="10" t="s">
        <v>297</v>
      </c>
      <c r="F24" s="10" t="s">
        <v>47</v>
      </c>
      <c r="G24" s="12" t="s">
        <v>852</v>
      </c>
      <c r="H24" s="10" t="s">
        <v>500</v>
      </c>
      <c r="I24" s="34" t="e">
        <f>VLOOKUP(Medidas[[#This Row],[$MedidaID]],MedidasAbas[[#All],[$MedidaID]:[$Abas Classificar]],2,FALSE)</f>
        <v>#N/A</v>
      </c>
    </row>
    <row r="25" spans="1:9" x14ac:dyDescent="0.35">
      <c r="A25" s="1">
        <v>8050</v>
      </c>
      <c r="B25" s="10" t="s">
        <v>811</v>
      </c>
      <c r="C25" s="10" t="s">
        <v>277</v>
      </c>
      <c r="D25" s="10" t="s">
        <v>218</v>
      </c>
      <c r="E25" s="10" t="s">
        <v>277</v>
      </c>
      <c r="F25" s="10" t="s">
        <v>1157</v>
      </c>
      <c r="G25" s="12" t="s">
        <v>852</v>
      </c>
      <c r="H25" s="10" t="s">
        <v>277</v>
      </c>
      <c r="I25" s="34" t="e">
        <f>VLOOKUP(Medidas[[#This Row],[$MedidaID]],MedidasAbas[[#All],[$MedidaID]:[$Abas Classificar]],2,FALSE)</f>
        <v>#N/A</v>
      </c>
    </row>
    <row r="26" spans="1:9" x14ac:dyDescent="0.35">
      <c r="A26" s="1">
        <v>9000</v>
      </c>
      <c r="B26" s="10" t="s">
        <v>846</v>
      </c>
      <c r="C26" s="10" t="s">
        <v>848</v>
      </c>
      <c r="D26" s="10" t="s">
        <v>218</v>
      </c>
      <c r="E26" s="10" t="s">
        <v>850</v>
      </c>
      <c r="F26" s="10" t="s">
        <v>47</v>
      </c>
      <c r="G26" s="12" t="s">
        <v>852</v>
      </c>
      <c r="H26" s="10" t="s">
        <v>297</v>
      </c>
      <c r="I26" s="18" t="str">
        <f>VLOOKUP(Medidas[[#This Row],[$MedidaID]],MedidasAbas[[#All],[$MedidaID]:[$Abas Classificar]],2,FALSE)</f>
        <v xml:space="preserve">Estimativa Savings </v>
      </c>
    </row>
    <row r="27" spans="1:9" x14ac:dyDescent="0.35">
      <c r="A27">
        <v>14</v>
      </c>
      <c r="B27" s="10" t="s">
        <v>783</v>
      </c>
      <c r="C27" s="10" t="s">
        <v>295</v>
      </c>
      <c r="D27" s="10" t="s">
        <v>218</v>
      </c>
      <c r="E27" s="10" t="s">
        <v>472</v>
      </c>
      <c r="F27" s="10" t="s">
        <v>47</v>
      </c>
      <c r="G27" s="12" t="s">
        <v>854</v>
      </c>
      <c r="H27" s="11" t="s">
        <v>277</v>
      </c>
      <c r="I27" s="34" t="e">
        <f>VLOOKUP(Medidas[[#This Row],[$MedidaID]],MedidasAbas[[#All],[$MedidaID]:[$Abas Classificar]],2,FALSE)</f>
        <v>#N/A</v>
      </c>
    </row>
    <row r="28" spans="1:9" x14ac:dyDescent="0.35">
      <c r="A28">
        <v>102</v>
      </c>
      <c r="B28" s="10" t="s">
        <v>800</v>
      </c>
      <c r="C28" s="10" t="s">
        <v>283</v>
      </c>
      <c r="D28" s="10" t="s">
        <v>218</v>
      </c>
      <c r="E28" s="10" t="s">
        <v>298</v>
      </c>
      <c r="F28" s="1" t="s">
        <v>294</v>
      </c>
      <c r="G28" s="12" t="s">
        <v>854</v>
      </c>
      <c r="H28" s="11" t="s">
        <v>277</v>
      </c>
      <c r="I28" s="34" t="e">
        <f>VLOOKUP(Medidas[[#This Row],[$MedidaID]],MedidasAbas[[#All],[$MedidaID]:[$Abas Classificar]],2,FALSE)</f>
        <v>#N/A</v>
      </c>
    </row>
    <row r="29" spans="1:9" x14ac:dyDescent="0.35">
      <c r="A29" s="16">
        <v>105</v>
      </c>
      <c r="B29" s="10" t="s">
        <v>803</v>
      </c>
      <c r="C29" s="10" t="s">
        <v>282</v>
      </c>
      <c r="D29" s="10" t="s">
        <v>218</v>
      </c>
      <c r="E29" s="1" t="s">
        <v>472</v>
      </c>
      <c r="F29" s="1" t="s">
        <v>294</v>
      </c>
      <c r="G29" s="12" t="s">
        <v>854</v>
      </c>
      <c r="H29" s="1" t="s">
        <v>471</v>
      </c>
      <c r="I29" s="34" t="e">
        <f>VLOOKUP(Medidas[[#This Row],[$MedidaID]],MedidasAbas[[#All],[$MedidaID]:[$Abas Classificar]],2,FALSE)</f>
        <v>#N/A</v>
      </c>
    </row>
    <row r="30" spans="1:9" x14ac:dyDescent="0.35">
      <c r="A30" s="16">
        <v>118</v>
      </c>
      <c r="B30" s="10" t="s">
        <v>795</v>
      </c>
      <c r="C30" s="10" t="s">
        <v>264</v>
      </c>
      <c r="D30" s="10" t="s">
        <v>218</v>
      </c>
      <c r="E30" s="10" t="s">
        <v>298</v>
      </c>
      <c r="F30" s="10" t="s">
        <v>47</v>
      </c>
      <c r="G30" s="12" t="s">
        <v>854</v>
      </c>
      <c r="H30" s="11" t="s">
        <v>277</v>
      </c>
      <c r="I30" s="34" t="e">
        <f>VLOOKUP(Medidas[[#This Row],[$MedidaID]],MedidasAbas[[#All],[$MedidaID]:[$Abas Classificar]],2,FALSE)</f>
        <v>#N/A</v>
      </c>
    </row>
    <row r="31" spans="1:9" x14ac:dyDescent="0.35">
      <c r="A31" s="16">
        <v>122</v>
      </c>
      <c r="B31" s="10" t="s">
        <v>806</v>
      </c>
      <c r="C31" s="10" t="s">
        <v>488</v>
      </c>
      <c r="D31" s="10" t="s">
        <v>218</v>
      </c>
      <c r="E31" s="10" t="s">
        <v>489</v>
      </c>
      <c r="F31" s="10" t="s">
        <v>294</v>
      </c>
      <c r="G31" s="12" t="s">
        <v>854</v>
      </c>
      <c r="H31" s="10" t="s">
        <v>297</v>
      </c>
      <c r="I31" s="34" t="e">
        <f>VLOOKUP(Medidas[[#This Row],[$MedidaID]],MedidasAbas[[#All],[$MedidaID]:[$Abas Classificar]],2,FALSE)</f>
        <v>#N/A</v>
      </c>
    </row>
    <row r="32" spans="1:9" x14ac:dyDescent="0.35">
      <c r="A32" s="1">
        <v>9001</v>
      </c>
      <c r="B32" s="10" t="s">
        <v>851</v>
      </c>
      <c r="C32" s="10" t="s">
        <v>849</v>
      </c>
      <c r="D32" s="10" t="s">
        <v>218</v>
      </c>
      <c r="E32" s="10" t="s">
        <v>847</v>
      </c>
      <c r="F32" s="10" t="s">
        <v>47</v>
      </c>
      <c r="G32" s="12" t="s">
        <v>854</v>
      </c>
      <c r="H32" s="10" t="s">
        <v>297</v>
      </c>
      <c r="I32" s="18" t="str">
        <f>VLOOKUP(Medidas[[#This Row],[$MedidaID]],MedidasAbas[[#All],[$MedidaID]:[$Abas Classificar]],2,FALSE)</f>
        <v>% Estimativa Savings</v>
      </c>
    </row>
    <row r="33" spans="1:9" x14ac:dyDescent="0.35">
      <c r="A33">
        <v>1</v>
      </c>
      <c r="B33" s="10" t="s">
        <v>777</v>
      </c>
      <c r="C33" s="10" t="s">
        <v>276</v>
      </c>
      <c r="D33" s="10" t="s">
        <v>218</v>
      </c>
      <c r="E33" s="10" t="s">
        <v>471</v>
      </c>
      <c r="F33" s="10" t="s">
        <v>47</v>
      </c>
      <c r="G33" s="10" t="s">
        <v>853</v>
      </c>
      <c r="H33" s="10" t="s">
        <v>471</v>
      </c>
      <c r="I33" s="34" t="str">
        <f>VLOOKUP(Medidas[[#This Row],[$MedidaID]],MedidasAbas[[#All],[$MedidaID]:[$Abas Classificar]],2,FALSE)</f>
        <v>Soma</v>
      </c>
    </row>
    <row r="34" spans="1:9" x14ac:dyDescent="0.35">
      <c r="A34" s="16">
        <v>103</v>
      </c>
      <c r="B34" s="10" t="s">
        <v>801</v>
      </c>
      <c r="C34" s="10" t="s">
        <v>280</v>
      </c>
      <c r="D34" s="10" t="s">
        <v>218</v>
      </c>
      <c r="E34" s="10" t="s">
        <v>471</v>
      </c>
      <c r="F34" s="1" t="s">
        <v>293</v>
      </c>
      <c r="G34" s="10" t="s">
        <v>853</v>
      </c>
      <c r="H34" s="10" t="s">
        <v>471</v>
      </c>
      <c r="I34" s="34" t="e">
        <f>VLOOKUP(Medidas[[#This Row],[$MedidaID]],MedidasAbas[[#All],[$MedidaID]:[$Abas Classificar]],2,FALSE)</f>
        <v>#N/A</v>
      </c>
    </row>
    <row r="35" spans="1:9" x14ac:dyDescent="0.35">
      <c r="A35" s="16">
        <v>104</v>
      </c>
      <c r="B35" s="10" t="s">
        <v>802</v>
      </c>
      <c r="C35" s="10" t="s">
        <v>281</v>
      </c>
      <c r="D35" s="10" t="s">
        <v>218</v>
      </c>
      <c r="E35" s="10" t="s">
        <v>471</v>
      </c>
      <c r="F35" s="1" t="s">
        <v>293</v>
      </c>
      <c r="G35" s="10" t="s">
        <v>853</v>
      </c>
      <c r="H35" s="10" t="s">
        <v>471</v>
      </c>
      <c r="I35" s="34" t="e">
        <f>VLOOKUP(Medidas[[#This Row],[$MedidaID]],MedidasAbas[[#All],[$MedidaID]:[$Abas Classificar]],2,FALSE)</f>
        <v>#N/A</v>
      </c>
    </row>
    <row r="36" spans="1:9" x14ac:dyDescent="0.35">
      <c r="A36" s="16">
        <v>106</v>
      </c>
      <c r="B36" s="15" t="s">
        <v>807</v>
      </c>
      <c r="C36" s="10" t="s">
        <v>286</v>
      </c>
      <c r="D36" s="10" t="s">
        <v>218</v>
      </c>
      <c r="E36" s="10" t="s">
        <v>471</v>
      </c>
      <c r="F36" s="16" t="s">
        <v>103</v>
      </c>
      <c r="G36" s="10" t="s">
        <v>853</v>
      </c>
      <c r="H36" s="10" t="s">
        <v>471</v>
      </c>
      <c r="I36" s="36" t="e">
        <f>VLOOKUP(Medidas[[#This Row],[$MedidaID]],MedidasAbas[[#All],[$MedidaID]:[$Abas Classificar]],2,FALSE)</f>
        <v>#N/A</v>
      </c>
    </row>
    <row r="37" spans="1:9" x14ac:dyDescent="0.35">
      <c r="A37" s="16">
        <v>107</v>
      </c>
      <c r="B37" s="15" t="s">
        <v>808</v>
      </c>
      <c r="C37" s="36" t="s">
        <v>285</v>
      </c>
      <c r="D37" s="36" t="s">
        <v>218</v>
      </c>
      <c r="E37" s="36" t="s">
        <v>471</v>
      </c>
      <c r="F37" s="37" t="s">
        <v>103</v>
      </c>
      <c r="G37" s="10" t="s">
        <v>853</v>
      </c>
      <c r="H37" s="10" t="s">
        <v>471</v>
      </c>
      <c r="I37" s="36" t="e">
        <f>VLOOKUP(Medidas[[#This Row],[$MedidaID]],MedidasAbas[[#All],[$MedidaID]:[$Abas Classificar]],2,FALSE)</f>
        <v>#N/A</v>
      </c>
    </row>
    <row r="38" spans="1:9" x14ac:dyDescent="0.35">
      <c r="A38" s="16">
        <v>108</v>
      </c>
      <c r="B38" s="15" t="s">
        <v>809</v>
      </c>
      <c r="C38" s="36" t="s">
        <v>284</v>
      </c>
      <c r="D38" s="36" t="s">
        <v>218</v>
      </c>
      <c r="E38" s="36" t="s">
        <v>471</v>
      </c>
      <c r="F38" s="37" t="s">
        <v>103</v>
      </c>
      <c r="G38" s="10" t="s">
        <v>853</v>
      </c>
      <c r="H38" s="10" t="s">
        <v>471</v>
      </c>
      <c r="I38" s="36" t="e">
        <f>VLOOKUP(Medidas[[#This Row],[$MedidaID]],MedidasAbas[[#All],[$MedidaID]:[$Abas Classificar]],2,FALSE)</f>
        <v>#N/A</v>
      </c>
    </row>
  </sheetData>
  <conditionalFormatting sqref="B14">
    <cfRule type="duplicateValues" dxfId="29" priority="51"/>
  </conditionalFormatting>
  <conditionalFormatting sqref="B15">
    <cfRule type="duplicateValues" dxfId="28" priority="49"/>
  </conditionalFormatting>
  <conditionalFormatting sqref="B16">
    <cfRule type="duplicateValues" dxfId="27" priority="45"/>
  </conditionalFormatting>
  <conditionalFormatting sqref="B17">
    <cfRule type="duplicateValues" dxfId="26" priority="41"/>
  </conditionalFormatting>
  <conditionalFormatting sqref="C1">
    <cfRule type="duplicateValues" dxfId="25" priority="165"/>
  </conditionalFormatting>
  <conditionalFormatting sqref="A1:A1048576">
    <cfRule type="duplicateValues" dxfId="24" priority="10"/>
  </conditionalFormatting>
  <conditionalFormatting sqref="B36:B1048576">
    <cfRule type="duplicateValues" dxfId="23" priority="775"/>
  </conditionalFormatting>
  <conditionalFormatting sqref="B18:B35">
    <cfRule type="duplicateValues" dxfId="22" priority="28457"/>
  </conditionalFormatting>
  <conditionalFormatting sqref="B13">
    <cfRule type="duplicateValues" dxfId="21" priority="28464"/>
  </conditionalFormatting>
  <conditionalFormatting sqref="B2:B38">
    <cfRule type="duplicateValues" dxfId="20" priority="28465"/>
  </conditionalFormatting>
  <conditionalFormatting sqref="B1:B38">
    <cfRule type="duplicateValues" dxfId="19" priority="2847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B9" sqref="B9"/>
    </sheetView>
  </sheetViews>
  <sheetFormatPr defaultRowHeight="14.5" x14ac:dyDescent="0.35"/>
  <cols>
    <col min="1" max="1" width="35.26953125" customWidth="1"/>
    <col min="2" max="2" width="30.1796875" customWidth="1"/>
    <col min="3" max="3" width="48.7265625" bestFit="1" customWidth="1"/>
    <col min="4" max="4" width="28.54296875" customWidth="1"/>
    <col min="5" max="5" width="33.26953125" customWidth="1"/>
  </cols>
  <sheetData>
    <row r="1" spans="1:5" x14ac:dyDescent="0.35">
      <c r="A1" s="14" t="s">
        <v>101</v>
      </c>
      <c r="B1" s="14" t="s">
        <v>485</v>
      </c>
      <c r="C1" s="14" t="s">
        <v>98</v>
      </c>
      <c r="D1" s="14" t="s">
        <v>484</v>
      </c>
      <c r="E1" s="14" t="s">
        <v>496</v>
      </c>
    </row>
    <row r="2" spans="1:5" x14ac:dyDescent="0.35">
      <c r="A2">
        <v>1</v>
      </c>
      <c r="B2" s="16">
        <v>1</v>
      </c>
      <c r="C2" s="2" t="str">
        <f>VLOOKUP(MedidasAbas[[#This Row],[$MedidaID]],Medidas[#All],3,FALSE)</f>
        <v>Soma</v>
      </c>
      <c r="D2" s="2" t="str">
        <f>VLOOKUP(MedidasAbas[[#This Row],[$MedidaID]],Medidas[#All],5,FALSE)</f>
        <v>Somar</v>
      </c>
      <c r="E2" t="s">
        <v>477</v>
      </c>
    </row>
    <row r="3" spans="1:5" x14ac:dyDescent="0.35">
      <c r="A3">
        <v>2</v>
      </c>
      <c r="B3" s="16">
        <v>2</v>
      </c>
      <c r="C3" s="16" t="str">
        <f>VLOOKUP(MedidasAbas[[#This Row],[$MedidaID]],Medidas[#All],3,FALSE)</f>
        <v>Contar</v>
      </c>
      <c r="D3" s="16" t="str">
        <f>VLOOKUP(MedidasAbas[[#This Row],[$MedidaID]],Medidas[#All],5,FALSE)</f>
        <v>Contar</v>
      </c>
      <c r="E3" t="s">
        <v>477</v>
      </c>
    </row>
    <row r="4" spans="1:5" x14ac:dyDescent="0.35">
      <c r="A4" s="16">
        <v>3</v>
      </c>
      <c r="B4" s="16">
        <v>16</v>
      </c>
      <c r="C4" s="2" t="str">
        <f>VLOOKUP(MedidasAbas[[#This Row],[$MedidaID]],Medidas[#All],3,FALSE)</f>
        <v>Media S/ Q1 e Q3</v>
      </c>
      <c r="D4" s="2" t="str">
        <f>VLOOKUP(MedidasAbas[[#This Row],[$MedidaID]],Medidas[#All],5,FALSE)</f>
        <v>Media S/ Outlier</v>
      </c>
      <c r="E4" s="16" t="s">
        <v>477</v>
      </c>
    </row>
    <row r="5" spans="1:5" x14ac:dyDescent="0.35">
      <c r="A5" s="16">
        <v>4</v>
      </c>
      <c r="B5" s="16">
        <v>9</v>
      </c>
      <c r="C5" s="2" t="str">
        <f>VLOOKUP(MedidasAbas[[#This Row],[$MedidaID]],Medidas[#All],3,FALSE)</f>
        <v>Mediana</v>
      </c>
      <c r="D5" s="2" t="str">
        <f>VLOOKUP(MedidasAbas[[#This Row],[$MedidaID]],Medidas[#All],5,FALSE)</f>
        <v>Mediana</v>
      </c>
      <c r="E5" s="16" t="s">
        <v>477</v>
      </c>
    </row>
    <row r="6" spans="1:5" x14ac:dyDescent="0.35">
      <c r="A6" s="16">
        <v>5</v>
      </c>
      <c r="B6" s="16">
        <v>10</v>
      </c>
      <c r="C6" s="2" t="str">
        <f>VLOOKUP(MedidasAbas[[#This Row],[$MedidaID]],Medidas[#All],3,FALSE)</f>
        <v>Moda</v>
      </c>
      <c r="D6" s="2" t="str">
        <f>VLOOKUP(MedidasAbas[[#This Row],[$MedidaID]],Medidas[#All],5,FALSE)</f>
        <v>Moda</v>
      </c>
      <c r="E6" s="16" t="s">
        <v>477</v>
      </c>
    </row>
    <row r="7" spans="1:5" x14ac:dyDescent="0.35">
      <c r="A7">
        <v>6</v>
      </c>
      <c r="B7" s="16">
        <v>19</v>
      </c>
      <c r="C7" s="2" t="str">
        <f>VLOOKUP(MedidasAbas[[#This Row],[$MedidaID]],Medidas[#All],3,FALSE)</f>
        <v>Média Rank Qtd s/ Q1 e Q3</v>
      </c>
      <c r="D7" s="2" t="str">
        <f>VLOOKUP(MedidasAbas[[#This Row],[$MedidaID]],Medidas[#All],5,FALSE)</f>
        <v>Media Rank Qtd s/ Outlier</v>
      </c>
      <c r="E7" s="16" t="s">
        <v>477</v>
      </c>
    </row>
    <row r="8" spans="1:5" x14ac:dyDescent="0.35">
      <c r="A8">
        <v>7</v>
      </c>
      <c r="B8" s="16">
        <v>17</v>
      </c>
      <c r="C8" s="2" t="str">
        <f>VLOOKUP(MedidasAbas[[#This Row],[$MedidaID]],Medidas[#All],3,FALSE)</f>
        <v>Moda S/ Q1 e Q3</v>
      </c>
      <c r="D8" s="2" t="str">
        <f>VLOOKUP(MedidasAbas[[#This Row],[$MedidaID]],Medidas[#All],5,FALSE)</f>
        <v>Moda S/ Outlier</v>
      </c>
      <c r="E8" s="16" t="s">
        <v>477</v>
      </c>
    </row>
    <row r="9" spans="1:5" x14ac:dyDescent="0.35">
      <c r="A9">
        <v>8</v>
      </c>
      <c r="B9" s="16">
        <v>18</v>
      </c>
      <c r="C9" s="2" t="str">
        <f>VLOOKUP(MedidasAbas[[#This Row],[$MedidaID]],Medidas[#All],3,FALSE)</f>
        <v>Mediana S/ Q1 e Q3</v>
      </c>
      <c r="D9" s="2" t="str">
        <f>VLOOKUP(MedidasAbas[[#This Row],[$MedidaID]],Medidas[#All],5,FALSE)</f>
        <v>Mediana S/ Outlier</v>
      </c>
      <c r="E9" s="16" t="s">
        <v>477</v>
      </c>
    </row>
    <row r="10" spans="1:5" x14ac:dyDescent="0.35">
      <c r="A10">
        <v>110</v>
      </c>
      <c r="B10" s="16">
        <v>11</v>
      </c>
      <c r="C10" s="2" t="str">
        <f>VLOOKUP(MedidasAbas[[#This Row],[$MedidaID]],Medidas[#All],3,FALSE)</f>
        <v>Média</v>
      </c>
      <c r="D10" s="2" t="str">
        <f>VLOOKUP(MedidasAbas[[#This Row],[$MedidaID]],Medidas[#All],5,FALSE)</f>
        <v>Media</v>
      </c>
      <c r="E10" s="16" t="s">
        <v>477</v>
      </c>
    </row>
    <row r="11" spans="1:5" x14ac:dyDescent="0.35">
      <c r="A11" s="1">
        <v>7000</v>
      </c>
      <c r="B11">
        <v>9000</v>
      </c>
      <c r="C11" s="2" t="str">
        <f>VLOOKUP(MedidasAbas[[#This Row],[$MedidaID]],Medidas[#All],3,FALSE)</f>
        <v xml:space="preserve">Estimativa Savings </v>
      </c>
      <c r="D11" s="2" t="str">
        <f>VLOOKUP(MedidasAbas[[#This Row],[$MedidaID]],Medidas[#All],5,FALSE)</f>
        <v>EstimativaSavings</v>
      </c>
      <c r="E11" s="16" t="s">
        <v>477</v>
      </c>
    </row>
    <row r="12" spans="1:5" x14ac:dyDescent="0.35">
      <c r="A12">
        <v>7001</v>
      </c>
      <c r="B12" s="16">
        <v>9001</v>
      </c>
      <c r="C12" s="2" t="str">
        <f>VLOOKUP(MedidasAbas[[#This Row],[$MedidaID]],Medidas[#All],3,FALSE)</f>
        <v>% Estimativa Savings</v>
      </c>
      <c r="D12" s="2" t="str">
        <f>VLOOKUP(MedidasAbas[[#This Row],[$MedidaID]],Medidas[#All],5,FALSE)</f>
        <v>EstimativaSavings%</v>
      </c>
      <c r="E12" s="16" t="s">
        <v>477</v>
      </c>
    </row>
  </sheetData>
  <conditionalFormatting sqref="A1">
    <cfRule type="duplicateValues" dxfId="18" priority="8"/>
  </conditionalFormatting>
  <conditionalFormatting sqref="C1">
    <cfRule type="duplicateValues" dxfId="17" priority="7"/>
  </conditionalFormatting>
  <conditionalFormatting sqref="A11">
    <cfRule type="duplicateValues" dxfId="16" priority="3"/>
  </conditionalFormatting>
  <conditionalFormatting sqref="B12">
    <cfRule type="duplicateValues" dxfId="15" priority="2"/>
  </conditionalFormatting>
  <conditionalFormatting sqref="B2:B11">
    <cfRule type="duplicateValues" dxfId="14" priority="28597"/>
  </conditionalFormatting>
  <conditionalFormatting sqref="A2:A12">
    <cfRule type="duplicateValues" dxfId="13" priority="28600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topLeftCell="A60" zoomScaleNormal="100" workbookViewId="0">
      <selection activeCell="B80" sqref="B80"/>
    </sheetView>
  </sheetViews>
  <sheetFormatPr defaultColWidth="43.453125" defaultRowHeight="14.5" x14ac:dyDescent="0.35"/>
  <cols>
    <col min="1" max="1" width="30.1796875" bestFit="1" customWidth="1"/>
    <col min="2" max="2" width="14.81640625" style="16" customWidth="1"/>
    <col min="3" max="3" width="47" customWidth="1"/>
    <col min="4" max="4" width="27.26953125" customWidth="1"/>
    <col min="6" max="6" width="27.81640625" customWidth="1"/>
    <col min="7" max="7" width="21.7265625" customWidth="1"/>
    <col min="8" max="8" width="16.26953125" customWidth="1"/>
  </cols>
  <sheetData>
    <row r="1" spans="1:9" ht="15" thickBot="1" x14ac:dyDescent="0.4">
      <c r="A1" s="16" t="s">
        <v>1101</v>
      </c>
      <c r="B1" t="s">
        <v>480</v>
      </c>
      <c r="C1" t="s">
        <v>474</v>
      </c>
      <c r="D1" t="s">
        <v>94</v>
      </c>
      <c r="E1" t="s">
        <v>290</v>
      </c>
      <c r="F1" t="s">
        <v>481</v>
      </c>
      <c r="G1" t="s">
        <v>217</v>
      </c>
      <c r="H1" t="s">
        <v>479</v>
      </c>
      <c r="I1" t="s">
        <v>478</v>
      </c>
    </row>
    <row r="2" spans="1:9" ht="15" thickBot="1" x14ac:dyDescent="0.4">
      <c r="A2" s="2">
        <v>1</v>
      </c>
      <c r="B2" s="2">
        <v>1</v>
      </c>
      <c r="C2" s="58" t="s">
        <v>1158</v>
      </c>
      <c r="D2" s="32" t="s">
        <v>1158</v>
      </c>
      <c r="E2" s="2" t="s">
        <v>277</v>
      </c>
      <c r="F2" s="2" t="s">
        <v>1159</v>
      </c>
      <c r="G2" s="2" t="str">
        <f>VLOOKUP(ApenasDimensao[[#This Row],[ Dimensão]],mergecampos[#All],1,FALSE)</f>
        <v>_C7Day_db</v>
      </c>
      <c r="H2" s="2">
        <f>ApenasDimensao[[#This Row],[$DimensaoID]]</f>
        <v>1</v>
      </c>
      <c r="I2" s="2" t="s">
        <v>1159</v>
      </c>
    </row>
    <row r="3" spans="1:9" ht="15" thickBot="1" x14ac:dyDescent="0.4">
      <c r="A3" s="2">
        <v>2</v>
      </c>
      <c r="B3" s="2">
        <v>2</v>
      </c>
      <c r="C3" s="58" t="s">
        <v>1160</v>
      </c>
      <c r="D3" s="32" t="s">
        <v>1160</v>
      </c>
      <c r="E3" s="2" t="s">
        <v>277</v>
      </c>
      <c r="F3" s="2" t="s">
        <v>1159</v>
      </c>
      <c r="G3" s="2" t="str">
        <f>VLOOKUP(ApenasDimensao[[#This Row],[ Dimensão]],mergecampos[#All],1,FALSE)</f>
        <v>_C30Day_db</v>
      </c>
      <c r="H3" s="2">
        <f>ApenasDimensao[[#This Row],[$DimensaoID]]</f>
        <v>2</v>
      </c>
      <c r="I3" s="2" t="s">
        <v>1159</v>
      </c>
    </row>
    <row r="4" spans="1:9" ht="15" thickBot="1" x14ac:dyDescent="0.4">
      <c r="A4" s="2">
        <v>3</v>
      </c>
      <c r="B4" s="2">
        <v>3</v>
      </c>
      <c r="C4" s="58" t="s">
        <v>1161</v>
      </c>
      <c r="D4" s="32" t="s">
        <v>1161</v>
      </c>
      <c r="E4" s="2" t="s">
        <v>277</v>
      </c>
      <c r="F4" s="2" t="s">
        <v>1159</v>
      </c>
      <c r="G4" s="2" t="str">
        <f>VLOOKUP(ApenasDimensao[[#This Row],[ Dimensão]],mergecampos[#All],1,FALSE)</f>
        <v>_CMath_db</v>
      </c>
      <c r="H4" s="2">
        <f>ApenasDimensao[[#This Row],[$DimensaoID]]</f>
        <v>3</v>
      </c>
      <c r="I4" s="2" t="s">
        <v>1159</v>
      </c>
    </row>
    <row r="5" spans="1:9" ht="15" thickBot="1" x14ac:dyDescent="0.4">
      <c r="A5" s="2">
        <v>4</v>
      </c>
      <c r="B5" s="2">
        <v>4</v>
      </c>
      <c r="C5" s="58" t="s">
        <v>1162</v>
      </c>
      <c r="D5" s="32" t="s">
        <v>1162</v>
      </c>
      <c r="E5" s="2" t="s">
        <v>277</v>
      </c>
      <c r="F5" s="2" t="s">
        <v>1159</v>
      </c>
      <c r="G5" s="2" t="str">
        <f>VLOOKUP(ApenasDimensao[[#This Row],[ Dimensão]],mergecampos[#All],1,FALSE)</f>
        <v>_CMonth_db</v>
      </c>
      <c r="H5" s="2">
        <f>ApenasDimensao[[#This Row],[$DimensaoID]]</f>
        <v>4</v>
      </c>
      <c r="I5" s="2" t="s">
        <v>1159</v>
      </c>
    </row>
    <row r="6" spans="1:9" ht="15" thickBot="1" x14ac:dyDescent="0.4">
      <c r="A6" s="2">
        <v>5</v>
      </c>
      <c r="B6" s="2">
        <v>5</v>
      </c>
      <c r="C6" s="58" t="s">
        <v>1163</v>
      </c>
      <c r="D6" s="32" t="s">
        <v>1163</v>
      </c>
      <c r="E6" s="2" t="s">
        <v>277</v>
      </c>
      <c r="F6" s="2" t="s">
        <v>1159</v>
      </c>
      <c r="G6" s="2" t="str">
        <f>VLOOKUP(ApenasDimensao[[#This Row],[ Dimensão]],mergecampos[#All],1,FALSE)</f>
        <v>_CSem_db</v>
      </c>
      <c r="H6" s="2">
        <f>ApenasDimensao[[#This Row],[$DimensaoID]]</f>
        <v>5</v>
      </c>
      <c r="I6" s="2" t="s">
        <v>1159</v>
      </c>
    </row>
    <row r="7" spans="1:9" ht="15" thickBot="1" x14ac:dyDescent="0.4">
      <c r="A7" s="2">
        <v>6</v>
      </c>
      <c r="B7" s="2">
        <v>6</v>
      </c>
      <c r="C7" s="58" t="s">
        <v>1164</v>
      </c>
      <c r="D7" s="32" t="s">
        <v>1164</v>
      </c>
      <c r="E7" s="2" t="s">
        <v>277</v>
      </c>
      <c r="F7" s="2" t="s">
        <v>1159</v>
      </c>
      <c r="G7" s="2" t="str">
        <f>VLOOKUP(ApenasDimensao[[#This Row],[ Dimensão]],mergecampos[#All],1,FALSE)</f>
        <v>_CToday_db</v>
      </c>
      <c r="H7" s="2">
        <f>ApenasDimensao[[#This Row],[$DimensaoID]]</f>
        <v>6</v>
      </c>
      <c r="I7" s="2" t="s">
        <v>1159</v>
      </c>
    </row>
    <row r="8" spans="1:9" ht="15" thickBot="1" x14ac:dyDescent="0.4">
      <c r="A8" s="2">
        <v>7</v>
      </c>
      <c r="B8" s="2">
        <v>7</v>
      </c>
      <c r="C8" s="58" t="s">
        <v>1165</v>
      </c>
      <c r="D8" s="32" t="s">
        <v>1165</v>
      </c>
      <c r="E8" s="2" t="s">
        <v>277</v>
      </c>
      <c r="F8" s="2" t="s">
        <v>1159</v>
      </c>
      <c r="G8" s="2" t="str">
        <f>VLOOKUP(ApenasDimensao[[#This Row],[ Dimensão]],mergecampos[#All],1,FALSE)</f>
        <v>_CTrim_db</v>
      </c>
      <c r="H8" s="2">
        <f>ApenasDimensao[[#This Row],[$DimensaoID]]</f>
        <v>7</v>
      </c>
      <c r="I8" s="2" t="s">
        <v>1159</v>
      </c>
    </row>
    <row r="9" spans="1:9" ht="15" thickBot="1" x14ac:dyDescent="0.4">
      <c r="A9" s="2">
        <v>8</v>
      </c>
      <c r="B9" s="2">
        <v>8</v>
      </c>
      <c r="C9" s="58" t="s">
        <v>1166</v>
      </c>
      <c r="D9" s="32" t="s">
        <v>1166</v>
      </c>
      <c r="E9" s="2" t="s">
        <v>277</v>
      </c>
      <c r="F9" s="2" t="s">
        <v>1159</v>
      </c>
      <c r="G9" s="2" t="str">
        <f>VLOOKUP(ApenasDimensao[[#This Row],[ Dimensão]],mergecampos[#All],1,FALSE)</f>
        <v>_CY_db</v>
      </c>
      <c r="H9" s="2">
        <f>ApenasDimensao[[#This Row],[$DimensaoID]]</f>
        <v>8</v>
      </c>
      <c r="I9" s="2" t="s">
        <v>1159</v>
      </c>
    </row>
    <row r="10" spans="1:9" ht="15" thickBot="1" x14ac:dyDescent="0.4">
      <c r="A10" s="2">
        <v>9</v>
      </c>
      <c r="B10" s="2">
        <v>9</v>
      </c>
      <c r="C10" s="58" t="s">
        <v>1167</v>
      </c>
      <c r="D10" s="32" t="s">
        <v>1167</v>
      </c>
      <c r="E10" s="2" t="s">
        <v>277</v>
      </c>
      <c r="F10" s="2" t="s">
        <v>1159</v>
      </c>
      <c r="G10" s="2" t="str">
        <f>VLOOKUP(ApenasDimensao[[#This Row],[ Dimensão]],mergecampos[#All],1,FALSE)</f>
        <v>_CYtd_db</v>
      </c>
      <c r="H10" s="2">
        <f>ApenasDimensao[[#This Row],[$DimensaoID]]</f>
        <v>9</v>
      </c>
      <c r="I10" s="2" t="s">
        <v>1159</v>
      </c>
    </row>
    <row r="11" spans="1:9" ht="15" thickBot="1" x14ac:dyDescent="0.4">
      <c r="A11" s="2">
        <v>10</v>
      </c>
      <c r="B11" s="2">
        <v>10</v>
      </c>
      <c r="C11" s="58" t="s">
        <v>1168</v>
      </c>
      <c r="D11" s="32" t="s">
        <v>1168</v>
      </c>
      <c r="E11" s="2" t="s">
        <v>277</v>
      </c>
      <c r="F11" s="2" t="s">
        <v>1159</v>
      </c>
      <c r="G11" s="2" t="str">
        <f>VLOOKUP(ApenasDimensao[[#This Row],[ Dimensão]],mergecampos[#All],1,FALSE)</f>
        <v>_CYtdFechado_db</v>
      </c>
      <c r="H11" s="2">
        <f>ApenasDimensao[[#This Row],[$DimensaoID]]</f>
        <v>10</v>
      </c>
      <c r="I11" s="2" t="s">
        <v>1159</v>
      </c>
    </row>
    <row r="12" spans="1:9" ht="15" thickBot="1" x14ac:dyDescent="0.4">
      <c r="A12" s="2">
        <v>11</v>
      </c>
      <c r="B12" s="2">
        <v>11</v>
      </c>
      <c r="C12" s="58" t="s">
        <v>1169</v>
      </c>
      <c r="D12" s="32" t="s">
        <v>1169</v>
      </c>
      <c r="E12" s="2" t="s">
        <v>277</v>
      </c>
      <c r="F12" s="2" t="s">
        <v>1159</v>
      </c>
      <c r="G12" s="2" t="str">
        <f>VLOOKUP(ApenasDimensao[[#This Row],[ Dimensão]],mergecampos[#All],1,FALSE)</f>
        <v>_PMath_db</v>
      </c>
      <c r="H12" s="2">
        <f>ApenasDimensao[[#This Row],[$DimensaoID]]</f>
        <v>11</v>
      </c>
      <c r="I12" s="2" t="s">
        <v>1159</v>
      </c>
    </row>
    <row r="13" spans="1:9" ht="15" thickBot="1" x14ac:dyDescent="0.4">
      <c r="A13" s="2">
        <v>12</v>
      </c>
      <c r="B13" s="2">
        <v>12</v>
      </c>
      <c r="C13" s="58" t="s">
        <v>1170</v>
      </c>
      <c r="D13" s="32" t="s">
        <v>1170</v>
      </c>
      <c r="E13" s="2" t="s">
        <v>277</v>
      </c>
      <c r="F13" s="2" t="s">
        <v>1159</v>
      </c>
      <c r="G13" s="2" t="str">
        <f>VLOOKUP(ApenasDimensao[[#This Row],[ Dimensão]],mergecampos[#All],1,FALSE)</f>
        <v>_PMonth_db</v>
      </c>
      <c r="H13" s="2">
        <f>ApenasDimensao[[#This Row],[$DimensaoID]]</f>
        <v>12</v>
      </c>
      <c r="I13" s="2" t="s">
        <v>1159</v>
      </c>
    </row>
    <row r="14" spans="1:9" ht="15" thickBot="1" x14ac:dyDescent="0.4">
      <c r="A14" s="2">
        <v>13</v>
      </c>
      <c r="B14" s="2">
        <v>13</v>
      </c>
      <c r="C14" s="58" t="s">
        <v>1171</v>
      </c>
      <c r="D14" s="32" t="s">
        <v>1171</v>
      </c>
      <c r="E14" s="2" t="s">
        <v>277</v>
      </c>
      <c r="F14" s="2" t="s">
        <v>1159</v>
      </c>
      <c r="G14" s="2" t="str">
        <f>VLOOKUP(ApenasDimensao[[#This Row],[ Dimensão]],mergecampos[#All],1,FALSE)</f>
        <v>_PSem_db</v>
      </c>
      <c r="H14" s="2">
        <f>ApenasDimensao[[#This Row],[$DimensaoID]]</f>
        <v>13</v>
      </c>
      <c r="I14" s="2" t="s">
        <v>1159</v>
      </c>
    </row>
    <row r="15" spans="1:9" ht="15" thickBot="1" x14ac:dyDescent="0.4">
      <c r="A15" s="2">
        <v>14</v>
      </c>
      <c r="B15" s="2">
        <v>14</v>
      </c>
      <c r="C15" s="58" t="s">
        <v>1172</v>
      </c>
      <c r="D15" s="32" t="s">
        <v>1172</v>
      </c>
      <c r="E15" s="2" t="s">
        <v>277</v>
      </c>
      <c r="F15" s="2" t="s">
        <v>1159</v>
      </c>
      <c r="G15" s="2" t="str">
        <f>VLOOKUP(ApenasDimensao[[#This Row],[ Dimensão]],mergecampos[#All],1,FALSE)</f>
        <v>_PTrim_db</v>
      </c>
      <c r="H15" s="2">
        <f>ApenasDimensao[[#This Row],[$DimensaoID]]</f>
        <v>14</v>
      </c>
      <c r="I15" s="2" t="s">
        <v>1159</v>
      </c>
    </row>
    <row r="16" spans="1:9" ht="15" thickBot="1" x14ac:dyDescent="0.4">
      <c r="A16" s="2">
        <v>15</v>
      </c>
      <c r="B16" s="2">
        <v>15</v>
      </c>
      <c r="C16" s="58" t="s">
        <v>1173</v>
      </c>
      <c r="D16" s="32" t="s">
        <v>1173</v>
      </c>
      <c r="E16" s="2" t="s">
        <v>277</v>
      </c>
      <c r="F16" s="2" t="s">
        <v>1159</v>
      </c>
      <c r="G16" s="2" t="str">
        <f>VLOOKUP(ApenasDimensao[[#This Row],[ Dimensão]],mergecampos[#All],1,FALSE)</f>
        <v>_PY_db</v>
      </c>
      <c r="H16" s="2">
        <f>ApenasDimensao[[#This Row],[$DimensaoID]]</f>
        <v>15</v>
      </c>
      <c r="I16" s="2" t="s">
        <v>1159</v>
      </c>
    </row>
    <row r="17" spans="1:9" ht="15" thickBot="1" x14ac:dyDescent="0.4">
      <c r="A17" s="2">
        <v>16</v>
      </c>
      <c r="B17" s="2">
        <v>16</v>
      </c>
      <c r="C17" s="58" t="s">
        <v>1174</v>
      </c>
      <c r="D17" s="32" t="s">
        <v>1174</v>
      </c>
      <c r="E17" s="2" t="s">
        <v>277</v>
      </c>
      <c r="F17" s="2" t="s">
        <v>1159</v>
      </c>
      <c r="G17" s="2" t="str">
        <f>VLOOKUP(ApenasDimensao[[#This Row],[ Dimensão]],mergecampos[#All],1,FALSE)</f>
        <v>_PYtd_db</v>
      </c>
      <c r="H17" s="2">
        <f>ApenasDimensao[[#This Row],[$DimensaoID]]</f>
        <v>16</v>
      </c>
      <c r="I17" s="2" t="s">
        <v>1159</v>
      </c>
    </row>
    <row r="18" spans="1:9" ht="15" thickBot="1" x14ac:dyDescent="0.4">
      <c r="A18" s="2">
        <v>17</v>
      </c>
      <c r="B18" s="2">
        <v>17</v>
      </c>
      <c r="C18" s="58" t="s">
        <v>1175</v>
      </c>
      <c r="D18" s="32" t="s">
        <v>1175</v>
      </c>
      <c r="E18" s="2" t="s">
        <v>277</v>
      </c>
      <c r="F18" s="2" t="s">
        <v>1159</v>
      </c>
      <c r="G18" s="2" t="str">
        <f>VLOOKUP(ApenasDimensao[[#This Row],[ Dimensão]],mergecampos[#All],1,FALSE)</f>
        <v>_PYtdFechado_db</v>
      </c>
      <c r="H18" s="2">
        <f>ApenasDimensao[[#This Row],[$DimensaoID]]</f>
        <v>17</v>
      </c>
      <c r="I18" s="2" t="s">
        <v>1159</v>
      </c>
    </row>
    <row r="19" spans="1:9" ht="15" thickBot="1" x14ac:dyDescent="0.4">
      <c r="A19" s="2">
        <v>18</v>
      </c>
      <c r="B19" s="2">
        <v>18</v>
      </c>
      <c r="C19" s="58" t="s">
        <v>1176</v>
      </c>
      <c r="D19" s="32" t="s">
        <v>1176</v>
      </c>
      <c r="E19" s="2" t="s">
        <v>277</v>
      </c>
      <c r="F19" s="2" t="s">
        <v>1159</v>
      </c>
      <c r="G19" s="2" t="str">
        <f>VLOOKUP(ApenasDimensao[[#This Row],[ Dimensão]],mergecampos[#All],1,FALSE)</f>
        <v>%OrderDate</v>
      </c>
      <c r="H19" s="2">
        <f>ApenasDimensao[[#This Row],[$DimensaoID]]</f>
        <v>18</v>
      </c>
      <c r="I19" s="2" t="s">
        <v>1159</v>
      </c>
    </row>
    <row r="20" spans="1:9" ht="15" thickBot="1" x14ac:dyDescent="0.4">
      <c r="A20" s="2">
        <v>20</v>
      </c>
      <c r="B20" s="2">
        <v>20</v>
      </c>
      <c r="C20" s="58" t="s">
        <v>1178</v>
      </c>
      <c r="D20" s="32" t="s">
        <v>1178</v>
      </c>
      <c r="E20" s="2" t="s">
        <v>277</v>
      </c>
      <c r="F20" s="2" t="s">
        <v>1177</v>
      </c>
      <c r="G20" s="2" t="str">
        <f>VLOOKUP(ApenasDimensao[[#This Row],[ Dimensão]],mergecampos[#All],1,FALSE)</f>
        <v>CMV</v>
      </c>
      <c r="H20" s="2">
        <f>ApenasDimensao[[#This Row],[$DimensaoID]]</f>
        <v>20</v>
      </c>
      <c r="I20" s="2" t="s">
        <v>1177</v>
      </c>
    </row>
    <row r="21" spans="1:9" ht="15" thickBot="1" x14ac:dyDescent="0.4">
      <c r="A21" s="2">
        <v>21</v>
      </c>
      <c r="B21" s="2">
        <v>21</v>
      </c>
      <c r="C21" s="58" t="s">
        <v>1179</v>
      </c>
      <c r="D21" s="32" t="s">
        <v>1179</v>
      </c>
      <c r="E21" s="2" t="s">
        <v>277</v>
      </c>
      <c r="F21" s="2" t="s">
        <v>1180</v>
      </c>
      <c r="G21" s="2" t="str">
        <f>VLOOKUP(ApenasDimensao[[#This Row],[ Dimensão]],mergecampos[#All],1,FALSE)</f>
        <v>COD_BAND_GMR</v>
      </c>
      <c r="H21" s="2">
        <f>ApenasDimensao[[#This Row],[$DimensaoID]]</f>
        <v>21</v>
      </c>
      <c r="I21" s="2" t="s">
        <v>1180</v>
      </c>
    </row>
    <row r="22" spans="1:9" ht="15" thickBot="1" x14ac:dyDescent="0.4">
      <c r="A22" s="2">
        <v>22</v>
      </c>
      <c r="B22" s="2">
        <v>22</v>
      </c>
      <c r="C22" s="58" t="s">
        <v>1181</v>
      </c>
      <c r="D22" s="32" t="s">
        <v>1181</v>
      </c>
      <c r="E22" s="2" t="s">
        <v>277</v>
      </c>
      <c r="F22" s="2" t="s">
        <v>1180</v>
      </c>
      <c r="G22" s="2" t="str">
        <f>VLOOKUP(ApenasDimensao[[#This Row],[ Dimensão]],mergecampos[#All],1,FALSE)</f>
        <v>COD_EAN_MATERIAL</v>
      </c>
      <c r="H22" s="2">
        <f>ApenasDimensao[[#This Row],[$DimensaoID]]</f>
        <v>22</v>
      </c>
      <c r="I22" s="2" t="s">
        <v>1180</v>
      </c>
    </row>
    <row r="23" spans="1:9" ht="15" thickBot="1" x14ac:dyDescent="0.4">
      <c r="A23" s="2">
        <v>23</v>
      </c>
      <c r="B23" s="2">
        <v>23</v>
      </c>
      <c r="C23" s="58" t="s">
        <v>1182</v>
      </c>
      <c r="D23" s="32" t="s">
        <v>1182</v>
      </c>
      <c r="E23" s="2" t="s">
        <v>277</v>
      </c>
      <c r="F23" s="2" t="s">
        <v>1177</v>
      </c>
      <c r="G23" s="2" t="str">
        <f>VLOOKUP(ApenasDimensao[[#This Row],[ Dimensão]],mergecampos[#All],1,FALSE)</f>
        <v>COD_FORNECEDOR_PFAT</v>
      </c>
      <c r="H23" s="2">
        <f>ApenasDimensao[[#This Row],[$DimensaoID]]</f>
        <v>23</v>
      </c>
      <c r="I23" s="2" t="s">
        <v>1177</v>
      </c>
    </row>
    <row r="24" spans="1:9" ht="15" thickBot="1" x14ac:dyDescent="0.4">
      <c r="A24" s="2">
        <v>24</v>
      </c>
      <c r="B24" s="2">
        <v>24</v>
      </c>
      <c r="C24" s="58" t="s">
        <v>1183</v>
      </c>
      <c r="D24" s="32" t="s">
        <v>1183</v>
      </c>
      <c r="E24" s="2" t="s">
        <v>277</v>
      </c>
      <c r="F24" s="2" t="s">
        <v>1180</v>
      </c>
      <c r="G24" s="2" t="str">
        <f>VLOOKUP(ApenasDimensao[[#This Row],[ Dimensão]],mergecampos[#All],1,FALSE)</f>
        <v>COD_MATERIAL_SAP</v>
      </c>
      <c r="H24" s="2">
        <f>ApenasDimensao[[#This Row],[$DimensaoID]]</f>
        <v>24</v>
      </c>
      <c r="I24" s="2" t="s">
        <v>1180</v>
      </c>
    </row>
    <row r="25" spans="1:9" ht="15" thickBot="1" x14ac:dyDescent="0.4">
      <c r="A25" s="2">
        <v>25</v>
      </c>
      <c r="B25" s="2">
        <v>25</v>
      </c>
      <c r="C25" s="58" t="s">
        <v>1184</v>
      </c>
      <c r="D25" s="32" t="s">
        <v>1184</v>
      </c>
      <c r="E25" s="2" t="s">
        <v>277</v>
      </c>
      <c r="F25" s="2" t="s">
        <v>1185</v>
      </c>
      <c r="G25" s="2" t="str">
        <f>VLOOKUP(ApenasDimensao[[#This Row],[ Dimensão]],mergecampos[#All],1,FALSE)</f>
        <v>COMPRADOR</v>
      </c>
      <c r="H25" s="2">
        <f>ApenasDimensao[[#This Row],[$DimensaoID]]</f>
        <v>25</v>
      </c>
      <c r="I25" s="2" t="s">
        <v>1185</v>
      </c>
    </row>
    <row r="26" spans="1:9" ht="15" thickBot="1" x14ac:dyDescent="0.4">
      <c r="A26" s="2">
        <v>26</v>
      </c>
      <c r="B26" s="2">
        <v>26</v>
      </c>
      <c r="C26" s="58" t="s">
        <v>1186</v>
      </c>
      <c r="D26" s="32" t="s">
        <v>1186</v>
      </c>
      <c r="E26" s="2" t="s">
        <v>277</v>
      </c>
      <c r="F26" s="2" t="s">
        <v>1159</v>
      </c>
      <c r="G26" s="2" t="str">
        <f>VLOOKUP(ApenasDimensao[[#This Row],[ Dimensão]],mergecampos[#All],1,FALSE)</f>
        <v>Day_db</v>
      </c>
      <c r="H26" s="2">
        <f>ApenasDimensao[[#This Row],[$DimensaoID]]</f>
        <v>26</v>
      </c>
      <c r="I26" s="2" t="s">
        <v>1159</v>
      </c>
    </row>
    <row r="27" spans="1:9" ht="15" thickBot="1" x14ac:dyDescent="0.4">
      <c r="A27" s="2">
        <v>27</v>
      </c>
      <c r="B27" s="2">
        <v>27</v>
      </c>
      <c r="C27" s="58" t="s">
        <v>1187</v>
      </c>
      <c r="D27" s="32" t="s">
        <v>1187</v>
      </c>
      <c r="E27" s="2" t="s">
        <v>277</v>
      </c>
      <c r="F27" s="2" t="s">
        <v>1159</v>
      </c>
      <c r="G27" s="2" t="str">
        <f>VLOOKUP(ApenasDimensao[[#This Row],[ Dimensão]],mergecampos[#All],1,FALSE)</f>
        <v>Day_of_Week_db</v>
      </c>
      <c r="H27" s="2">
        <f>ApenasDimensao[[#This Row],[$DimensaoID]]</f>
        <v>27</v>
      </c>
      <c r="I27" s="2" t="s">
        <v>1159</v>
      </c>
    </row>
    <row r="28" spans="1:9" ht="15" thickBot="1" x14ac:dyDescent="0.4">
      <c r="A28" s="2">
        <v>28</v>
      </c>
      <c r="B28" s="2">
        <v>28</v>
      </c>
      <c r="C28" s="58" t="s">
        <v>1188</v>
      </c>
      <c r="D28" s="32" t="s">
        <v>1188</v>
      </c>
      <c r="E28" s="2" t="s">
        <v>277</v>
      </c>
      <c r="F28" s="2" t="s">
        <v>1159</v>
      </c>
      <c r="G28" s="2" t="str">
        <f>VLOOKUP(ApenasDimensao[[#This Row],[ Dimensão]],mergecampos[#All],1,FALSE)</f>
        <v>Day_of_Week_Name_db</v>
      </c>
      <c r="H28" s="2">
        <f>ApenasDimensao[[#This Row],[$DimensaoID]]</f>
        <v>28</v>
      </c>
      <c r="I28" s="2" t="s">
        <v>1159</v>
      </c>
    </row>
    <row r="29" spans="1:9" ht="15" thickBot="1" x14ac:dyDescent="0.4">
      <c r="A29" s="2">
        <v>29</v>
      </c>
      <c r="B29" s="2">
        <v>29</v>
      </c>
      <c r="C29" s="58" t="s">
        <v>1189</v>
      </c>
      <c r="D29" s="32" t="s">
        <v>1189</v>
      </c>
      <c r="E29" s="2" t="s">
        <v>471</v>
      </c>
      <c r="F29" s="2" t="s">
        <v>1177</v>
      </c>
      <c r="G29" s="2" t="str">
        <f>VLOOKUP(ApenasDimensao[[#This Row],[ Dimensão]],mergecampos[#All],1,FALSE)</f>
        <v>DE_VLR_ESTOQUE_PF</v>
      </c>
      <c r="H29" s="2">
        <f>ApenasDimensao[[#This Row],[$DimensaoID]]</f>
        <v>29</v>
      </c>
      <c r="I29" s="2" t="s">
        <v>1177</v>
      </c>
    </row>
    <row r="30" spans="1:9" ht="15" thickBot="1" x14ac:dyDescent="0.4">
      <c r="A30" s="2">
        <v>30</v>
      </c>
      <c r="B30" s="2">
        <v>30</v>
      </c>
      <c r="C30" s="58" t="s">
        <v>1190</v>
      </c>
      <c r="D30" s="32" t="s">
        <v>1190</v>
      </c>
      <c r="E30" s="2" t="s">
        <v>471</v>
      </c>
      <c r="F30" s="2" t="s">
        <v>1177</v>
      </c>
      <c r="G30" s="2" t="str">
        <f>VLOOKUP(ApenasDimensao[[#This Row],[ Dimensão]],mergecampos[#All],1,FALSE)</f>
        <v>DE_VLR_VPF_PROJETADA</v>
      </c>
      <c r="H30" s="2">
        <f>ApenasDimensao[[#This Row],[$DimensaoID]]</f>
        <v>30</v>
      </c>
      <c r="I30" s="2" t="s">
        <v>1177</v>
      </c>
    </row>
    <row r="31" spans="1:9" ht="15" thickBot="1" x14ac:dyDescent="0.4">
      <c r="A31" s="2">
        <v>31</v>
      </c>
      <c r="B31" s="2">
        <v>31</v>
      </c>
      <c r="C31" s="58" t="s">
        <v>1191</v>
      </c>
      <c r="D31" s="32" t="s">
        <v>1191</v>
      </c>
      <c r="E31" s="2" t="s">
        <v>277</v>
      </c>
      <c r="F31" s="2" t="s">
        <v>1180</v>
      </c>
      <c r="G31" s="2" t="str">
        <f>VLOOKUP(ApenasDimensao[[#This Row],[ Dimensão]],mergecampos[#All],1,FALSE)</f>
        <v>DES_BAND_FORNECEDOR</v>
      </c>
      <c r="H31" s="2">
        <f>ApenasDimensao[[#This Row],[$DimensaoID]]</f>
        <v>31</v>
      </c>
      <c r="I31" s="2" t="s">
        <v>1180</v>
      </c>
    </row>
    <row r="32" spans="1:9" ht="15" thickBot="1" x14ac:dyDescent="0.4">
      <c r="A32" s="2">
        <v>32</v>
      </c>
      <c r="B32" s="2">
        <v>32</v>
      </c>
      <c r="C32" s="58" t="s">
        <v>1192</v>
      </c>
      <c r="D32" s="32" t="s">
        <v>1192</v>
      </c>
      <c r="E32" s="2" t="s">
        <v>277</v>
      </c>
      <c r="F32" s="2" t="s">
        <v>1180</v>
      </c>
      <c r="G32" s="2" t="str">
        <f>VLOOKUP(ApenasDimensao[[#This Row],[ Dimensão]],mergecampos[#All],1,FALSE)</f>
        <v>DES_BAND_GMR</v>
      </c>
      <c r="H32" s="2">
        <f>ApenasDimensao[[#This Row],[$DimensaoID]]</f>
        <v>32</v>
      </c>
      <c r="I32" s="2" t="s">
        <v>1180</v>
      </c>
    </row>
    <row r="33" spans="1:9" ht="15" thickBot="1" x14ac:dyDescent="0.4">
      <c r="A33" s="2">
        <v>33</v>
      </c>
      <c r="B33" s="2">
        <v>33</v>
      </c>
      <c r="C33" s="58" t="s">
        <v>1193</v>
      </c>
      <c r="D33" s="32" t="s">
        <v>1193</v>
      </c>
      <c r="E33" s="2" t="s">
        <v>277</v>
      </c>
      <c r="F33" s="2" t="s">
        <v>1177</v>
      </c>
      <c r="G33" s="2" t="str">
        <f>VLOOKUP(ApenasDimensao[[#This Row],[ Dimensão]],mergecampos[#All],1,FALSE)</f>
        <v>DES_CD</v>
      </c>
      <c r="H33" s="2">
        <f>ApenasDimensao[[#This Row],[$DimensaoID]]</f>
        <v>33</v>
      </c>
      <c r="I33" s="2" t="s">
        <v>1177</v>
      </c>
    </row>
    <row r="34" spans="1:9" ht="15" thickBot="1" x14ac:dyDescent="0.4">
      <c r="A34" s="2">
        <v>34</v>
      </c>
      <c r="B34" s="2">
        <v>34</v>
      </c>
      <c r="C34" s="58" t="s">
        <v>1194</v>
      </c>
      <c r="D34" s="32" t="s">
        <v>1194</v>
      </c>
      <c r="E34" s="2" t="s">
        <v>277</v>
      </c>
      <c r="F34" s="2" t="s">
        <v>1180</v>
      </c>
      <c r="G34" s="2" t="str">
        <f>VLOOKUP(ApenasDimensao[[#This Row],[ Dimensão]],mergecampos[#All],1,FALSE)</f>
        <v>DES_ORIGEM</v>
      </c>
      <c r="H34" s="2">
        <f>ApenasDimensao[[#This Row],[$DimensaoID]]</f>
        <v>34</v>
      </c>
      <c r="I34" s="2" t="s">
        <v>1180</v>
      </c>
    </row>
    <row r="35" spans="1:9" ht="15" thickBot="1" x14ac:dyDescent="0.4">
      <c r="A35" s="2">
        <v>35</v>
      </c>
      <c r="B35" s="2">
        <v>35</v>
      </c>
      <c r="C35" s="58" t="s">
        <v>1195</v>
      </c>
      <c r="D35" s="32" t="s">
        <v>1195</v>
      </c>
      <c r="E35" s="2" t="s">
        <v>277</v>
      </c>
      <c r="F35" s="2" t="s">
        <v>1177</v>
      </c>
      <c r="G35" s="2" t="str">
        <f>VLOOKUP(ApenasDimensao[[#This Row],[ Dimensão]],mergecampos[#All],1,FALSE)</f>
        <v>Desconto</v>
      </c>
      <c r="H35" s="2">
        <f>ApenasDimensao[[#This Row],[$DimensaoID]]</f>
        <v>35</v>
      </c>
      <c r="I35" s="2" t="s">
        <v>1177</v>
      </c>
    </row>
    <row r="36" spans="1:9" ht="15" thickBot="1" x14ac:dyDescent="0.4">
      <c r="A36" s="2">
        <v>36</v>
      </c>
      <c r="B36" s="2">
        <v>36</v>
      </c>
      <c r="C36" s="58" t="s">
        <v>1196</v>
      </c>
      <c r="D36" s="32" t="s">
        <v>1196</v>
      </c>
      <c r="E36" s="2" t="s">
        <v>277</v>
      </c>
      <c r="F36" s="2" t="s">
        <v>1185</v>
      </c>
      <c r="G36" s="2" t="str">
        <f>VLOOKUP(ApenasDimensao[[#This Row],[ Dimensão]],mergecampos[#All],1,FALSE)</f>
        <v>GERENTE_CATEGORIA</v>
      </c>
      <c r="H36" s="2">
        <f>ApenasDimensao[[#This Row],[$DimensaoID]]</f>
        <v>36</v>
      </c>
      <c r="I36" s="2" t="s">
        <v>1185</v>
      </c>
    </row>
    <row r="37" spans="1:9" ht="15" thickBot="1" x14ac:dyDescent="0.4">
      <c r="A37" s="2">
        <v>37</v>
      </c>
      <c r="B37" s="2">
        <v>37</v>
      </c>
      <c r="C37" s="58" t="s">
        <v>1197</v>
      </c>
      <c r="D37" s="32" t="s">
        <v>1197</v>
      </c>
      <c r="E37" s="2" t="s">
        <v>277</v>
      </c>
      <c r="F37" s="2" t="s">
        <v>1185</v>
      </c>
      <c r="G37" s="2" t="str">
        <f>VLOOKUP(ApenasDimensao[[#This Row],[ Dimensão]],mergecampos[#All],1,FALSE)</f>
        <v>GERENTE_COMPRAS</v>
      </c>
      <c r="H37" s="2">
        <f>ApenasDimensao[[#This Row],[$DimensaoID]]</f>
        <v>37</v>
      </c>
      <c r="I37" s="2" t="s">
        <v>1185</v>
      </c>
    </row>
    <row r="38" spans="1:9" ht="15" thickBot="1" x14ac:dyDescent="0.4">
      <c r="A38" s="2">
        <v>38</v>
      </c>
      <c r="B38" s="2">
        <v>38</v>
      </c>
      <c r="C38" s="58" t="s">
        <v>1198</v>
      </c>
      <c r="D38" s="32" t="s">
        <v>1198</v>
      </c>
      <c r="E38" s="2" t="s">
        <v>277</v>
      </c>
      <c r="F38" s="2" t="s">
        <v>1177</v>
      </c>
      <c r="G38" s="2" t="str">
        <f>VLOOKUP(ApenasDimensao[[#This Row],[ Dimensão]],mergecampos[#All],1,FALSE)</f>
        <v>ID_LEADTIME</v>
      </c>
      <c r="H38" s="2">
        <f>ApenasDimensao[[#This Row],[$DimensaoID]]</f>
        <v>38</v>
      </c>
      <c r="I38" s="2" t="s">
        <v>1177</v>
      </c>
    </row>
    <row r="39" spans="1:9" ht="15" thickBot="1" x14ac:dyDescent="0.4">
      <c r="A39" s="2">
        <v>39</v>
      </c>
      <c r="B39" s="2">
        <v>39</v>
      </c>
      <c r="C39" s="58" t="s">
        <v>1199</v>
      </c>
      <c r="D39" s="32" t="s">
        <v>1199</v>
      </c>
      <c r="E39" s="2" t="s">
        <v>277</v>
      </c>
      <c r="F39" s="2" t="s">
        <v>1177</v>
      </c>
      <c r="G39" s="2" t="str">
        <f>VLOOKUP(ApenasDimensao[[#This Row],[ Dimensão]],mergecampos[#All],1,FALSE)</f>
        <v>IDENT_FORNECEDOR</v>
      </c>
      <c r="H39" s="2">
        <f>ApenasDimensao[[#This Row],[$DimensaoID]]</f>
        <v>39</v>
      </c>
      <c r="I39" s="2" t="s">
        <v>1177</v>
      </c>
    </row>
    <row r="40" spans="1:9" ht="15" thickBot="1" x14ac:dyDescent="0.4">
      <c r="A40" s="2">
        <v>40</v>
      </c>
      <c r="B40" s="2">
        <v>40</v>
      </c>
      <c r="C40" s="58" t="s">
        <v>1200</v>
      </c>
      <c r="D40" s="32" t="s">
        <v>1200</v>
      </c>
      <c r="E40" s="2" t="s">
        <v>277</v>
      </c>
      <c r="F40" s="2" t="s">
        <v>1180</v>
      </c>
      <c r="G40" s="2" t="str">
        <f>VLOOKUP(ApenasDimensao[[#This Row],[ Dimensão]],mergecampos[#All],1,FALSE)</f>
        <v>Key Cod Mat CD</v>
      </c>
      <c r="H40" s="2">
        <f>ApenasDimensao[[#This Row],[$DimensaoID]]</f>
        <v>40</v>
      </c>
      <c r="I40" s="2" t="s">
        <v>1180</v>
      </c>
    </row>
    <row r="41" spans="1:9" ht="15" thickBot="1" x14ac:dyDescent="0.4">
      <c r="A41" s="2">
        <v>43</v>
      </c>
      <c r="B41" s="2">
        <v>43</v>
      </c>
      <c r="C41" s="58" t="s">
        <v>1201</v>
      </c>
      <c r="D41" s="32" t="s">
        <v>1201</v>
      </c>
      <c r="E41" s="2" t="s">
        <v>277</v>
      </c>
      <c r="F41" s="2" t="s">
        <v>1177</v>
      </c>
      <c r="G41" s="2" t="str">
        <f>VLOOKUP(ApenasDimensao[[#This Row],[ Dimensão]],mergecampos[#All],1,FALSE)</f>
        <v>Key_COMPRADOR</v>
      </c>
      <c r="H41" s="2">
        <f>ApenasDimensao[[#This Row],[$DimensaoID]]</f>
        <v>43</v>
      </c>
      <c r="I41" s="2" t="s">
        <v>1177</v>
      </c>
    </row>
    <row r="42" spans="1:9" ht="15" thickBot="1" x14ac:dyDescent="0.4">
      <c r="A42" s="2">
        <v>44</v>
      </c>
      <c r="B42" s="2">
        <v>44</v>
      </c>
      <c r="C42" s="58" t="s">
        <v>1202</v>
      </c>
      <c r="D42" s="32" t="s">
        <v>1202</v>
      </c>
      <c r="E42" s="2" t="s">
        <v>471</v>
      </c>
      <c r="F42" s="2" t="s">
        <v>1177</v>
      </c>
      <c r="G42" s="2" t="str">
        <f>VLOOKUP(ApenasDimensao[[#This Row],[ Dimensão]],mergecampos[#All],1,FALSE)</f>
        <v>MAPA_VLR_ESTOQUELIVRE</v>
      </c>
      <c r="H42" s="2">
        <f>ApenasDimensao[[#This Row],[$DimensaoID]]</f>
        <v>44</v>
      </c>
      <c r="I42" s="2" t="s">
        <v>1177</v>
      </c>
    </row>
    <row r="43" spans="1:9" ht="15" thickBot="1" x14ac:dyDescent="0.4">
      <c r="A43" s="2">
        <v>45</v>
      </c>
      <c r="B43" s="2">
        <v>45</v>
      </c>
      <c r="C43" s="58" t="s">
        <v>1203</v>
      </c>
      <c r="D43" s="32" t="s">
        <v>1203</v>
      </c>
      <c r="E43" s="2" t="s">
        <v>471</v>
      </c>
      <c r="F43" s="2" t="s">
        <v>1177</v>
      </c>
      <c r="G43" s="2" t="str">
        <f>VLOOKUP(ApenasDimensao[[#This Row],[ Dimensão]],mergecampos[#All],1,FALSE)</f>
        <v>MAPA_VLR_ESTOQUETOTAL</v>
      </c>
      <c r="H43" s="2">
        <f>ApenasDimensao[[#This Row],[$DimensaoID]]</f>
        <v>45</v>
      </c>
      <c r="I43" s="2" t="s">
        <v>1177</v>
      </c>
    </row>
    <row r="44" spans="1:9" ht="15" thickBot="1" x14ac:dyDescent="0.4">
      <c r="A44" s="2">
        <v>46</v>
      </c>
      <c r="B44" s="2">
        <v>46</v>
      </c>
      <c r="C44" s="58" t="s">
        <v>1204</v>
      </c>
      <c r="D44" s="32" t="s">
        <v>1204</v>
      </c>
      <c r="E44" s="2" t="s">
        <v>471</v>
      </c>
      <c r="F44" s="2" t="s">
        <v>1177</v>
      </c>
      <c r="G44" s="2" t="str">
        <f>VLOOKUP(ApenasDimensao[[#This Row],[ Dimensão]],mergecampos[#All],1,FALSE)</f>
        <v>MAPA_VLR_MEDIAPOND</v>
      </c>
      <c r="H44" s="2">
        <f>ApenasDimensao[[#This Row],[$DimensaoID]]</f>
        <v>46</v>
      </c>
      <c r="I44" s="2" t="s">
        <v>1177</v>
      </c>
    </row>
    <row r="45" spans="1:9" ht="15" thickBot="1" x14ac:dyDescent="0.4">
      <c r="A45" s="2">
        <v>47</v>
      </c>
      <c r="B45" s="2">
        <v>47</v>
      </c>
      <c r="C45" s="58" t="s">
        <v>1205</v>
      </c>
      <c r="D45" s="32" t="s">
        <v>1205</v>
      </c>
      <c r="E45" s="2" t="s">
        <v>277</v>
      </c>
      <c r="F45" s="2" t="s">
        <v>1159</v>
      </c>
      <c r="G45" s="2" t="str">
        <f>VLOOKUP(ApenasDimensao[[#This Row],[ Dimensão]],mergecampos[#All],1,FALSE)</f>
        <v>Month_db</v>
      </c>
      <c r="H45" s="2">
        <f>ApenasDimensao[[#This Row],[$DimensaoID]]</f>
        <v>47</v>
      </c>
      <c r="I45" s="2" t="s">
        <v>1159</v>
      </c>
    </row>
    <row r="46" spans="1:9" ht="15" thickBot="1" x14ac:dyDescent="0.4">
      <c r="A46" s="2">
        <v>48</v>
      </c>
      <c r="B46" s="2">
        <v>48</v>
      </c>
      <c r="C46" s="58" t="s">
        <v>1206</v>
      </c>
      <c r="D46" s="32" t="s">
        <v>1206</v>
      </c>
      <c r="E46" s="2" t="s">
        <v>277</v>
      </c>
      <c r="F46" s="2" t="s">
        <v>1159</v>
      </c>
      <c r="G46" s="2" t="str">
        <f>VLOOKUP(ApenasDimensao[[#This Row],[ Dimensão]],mergecampos[#All],1,FALSE)</f>
        <v>Month_Number_db</v>
      </c>
      <c r="H46" s="2">
        <f>ApenasDimensao[[#This Row],[$DimensaoID]]</f>
        <v>48</v>
      </c>
      <c r="I46" s="2" t="s">
        <v>1159</v>
      </c>
    </row>
    <row r="47" spans="1:9" ht="15" thickBot="1" x14ac:dyDescent="0.4">
      <c r="A47" s="2">
        <v>49</v>
      </c>
      <c r="B47" s="2">
        <v>49</v>
      </c>
      <c r="C47" s="58" t="s">
        <v>1207</v>
      </c>
      <c r="D47" s="32" t="s">
        <v>1207</v>
      </c>
      <c r="E47" s="2" t="s">
        <v>277</v>
      </c>
      <c r="F47" s="2" t="s">
        <v>1159</v>
      </c>
      <c r="G47" s="2" t="str">
        <f>VLOOKUP(ApenasDimensao[[#This Row],[ Dimensão]],mergecampos[#All],1,FALSE)</f>
        <v>MonthName_db</v>
      </c>
      <c r="H47" s="2">
        <f>ApenasDimensao[[#This Row],[$DimensaoID]]</f>
        <v>49</v>
      </c>
      <c r="I47" s="2" t="s">
        <v>1159</v>
      </c>
    </row>
    <row r="48" spans="1:9" ht="15" thickBot="1" x14ac:dyDescent="0.4">
      <c r="A48" s="2">
        <v>50</v>
      </c>
      <c r="B48" s="2">
        <v>50</v>
      </c>
      <c r="C48" s="58" t="s">
        <v>1208</v>
      </c>
      <c r="D48" s="32" t="s">
        <v>1208</v>
      </c>
      <c r="E48" s="2" t="s">
        <v>277</v>
      </c>
      <c r="F48" s="2" t="s">
        <v>1180</v>
      </c>
      <c r="G48" s="2" t="str">
        <f>VLOOKUP(ApenasDimensao[[#This Row],[ Dimensão]],mergecampos[#All],1,FALSE)</f>
        <v>NME_MATERIAL</v>
      </c>
      <c r="H48" s="2">
        <f>ApenasDimensao[[#This Row],[$DimensaoID]]</f>
        <v>50</v>
      </c>
      <c r="I48" s="2" t="s">
        <v>1180</v>
      </c>
    </row>
    <row r="49" spans="1:9" ht="15" thickBot="1" x14ac:dyDescent="0.4">
      <c r="A49" s="2">
        <v>51</v>
      </c>
      <c r="B49" s="2">
        <v>51</v>
      </c>
      <c r="C49" s="58" t="s">
        <v>1209</v>
      </c>
      <c r="D49" s="32" t="s">
        <v>1209</v>
      </c>
      <c r="E49" s="2" t="s">
        <v>277</v>
      </c>
      <c r="F49" s="2" t="s">
        <v>1177</v>
      </c>
      <c r="G49" s="2" t="str">
        <f>VLOOKUP(ApenasDimensao[[#This Row],[ Dimensão]],mergecampos[#All],1,FALSE)</f>
        <v>NomeEmpresa</v>
      </c>
      <c r="H49" s="2">
        <f>ApenasDimensao[[#This Row],[$DimensaoID]]</f>
        <v>51</v>
      </c>
      <c r="I49" s="2" t="s">
        <v>1177</v>
      </c>
    </row>
    <row r="50" spans="1:9" ht="15" thickBot="1" x14ac:dyDescent="0.4">
      <c r="A50" s="2">
        <v>52</v>
      </c>
      <c r="B50" s="2">
        <v>52</v>
      </c>
      <c r="C50" s="58" t="s">
        <v>1210</v>
      </c>
      <c r="D50" s="32" t="s">
        <v>1210</v>
      </c>
      <c r="E50" s="2" t="s">
        <v>277</v>
      </c>
      <c r="F50" s="2" t="s">
        <v>1180</v>
      </c>
      <c r="G50" s="2" t="str">
        <f>VLOOKUP(ApenasDimensao[[#This Row],[ Dimensão]],mergecampos[#All],1,FALSE)</f>
        <v>Pacote</v>
      </c>
      <c r="H50" s="2">
        <f>ApenasDimensao[[#This Row],[$DimensaoID]]</f>
        <v>52</v>
      </c>
      <c r="I50" s="2" t="s">
        <v>1180</v>
      </c>
    </row>
    <row r="51" spans="1:9" ht="15" thickBot="1" x14ac:dyDescent="0.4">
      <c r="A51" s="2">
        <v>53</v>
      </c>
      <c r="B51" s="2">
        <v>53</v>
      </c>
      <c r="C51" s="58" t="s">
        <v>1211</v>
      </c>
      <c r="D51" s="32" t="s">
        <v>1211</v>
      </c>
      <c r="E51" s="2" t="s">
        <v>277</v>
      </c>
      <c r="F51" s="2" t="s">
        <v>1177</v>
      </c>
      <c r="G51" s="2" t="str">
        <f>VLOOKUP(ApenasDimensao[[#This Row],[ Dimensão]],mergecampos[#All],1,FALSE)</f>
        <v>PC_FATOR_PONDERA</v>
      </c>
      <c r="H51" s="2">
        <f>ApenasDimensao[[#This Row],[$DimensaoID]]</f>
        <v>53</v>
      </c>
      <c r="I51" s="2" t="s">
        <v>1177</v>
      </c>
    </row>
    <row r="52" spans="1:9" ht="15" thickBot="1" x14ac:dyDescent="0.4">
      <c r="A52" s="2">
        <v>54</v>
      </c>
      <c r="B52" s="2">
        <v>54</v>
      </c>
      <c r="C52" s="58" t="s">
        <v>1212</v>
      </c>
      <c r="D52" s="32" t="s">
        <v>1212</v>
      </c>
      <c r="E52" s="2" t="s">
        <v>471</v>
      </c>
      <c r="F52" s="2" t="s">
        <v>1177</v>
      </c>
      <c r="G52" s="2" t="str">
        <f>VLOOKUP(ApenasDimensao[[#This Row],[ Dimensão]],mergecampos[#All],1,FALSE)</f>
        <v>PC_VLR_PRZ_COMPRA_TOT</v>
      </c>
      <c r="H52" s="2">
        <f>ApenasDimensao[[#This Row],[$DimensaoID]]</f>
        <v>54</v>
      </c>
      <c r="I52" s="2" t="s">
        <v>1177</v>
      </c>
    </row>
    <row r="53" spans="1:9" ht="15" thickBot="1" x14ac:dyDescent="0.4">
      <c r="A53" s="2">
        <v>55</v>
      </c>
      <c r="B53" s="2">
        <v>55</v>
      </c>
      <c r="C53" s="58" t="s">
        <v>1213</v>
      </c>
      <c r="D53" s="32" t="s">
        <v>1213</v>
      </c>
      <c r="E53" s="2" t="s">
        <v>277</v>
      </c>
      <c r="F53" s="2" t="s">
        <v>1177</v>
      </c>
      <c r="G53" s="2" t="str">
        <f>VLOOKUP(ApenasDimensao[[#This Row],[ Dimensão]],mergecampos[#All],1,FALSE)</f>
        <v>Pond. Fat ate Entrega</v>
      </c>
      <c r="H53" s="2">
        <f>ApenasDimensao[[#This Row],[$DimensaoID]]</f>
        <v>55</v>
      </c>
      <c r="I53" s="2" t="s">
        <v>1177</v>
      </c>
    </row>
    <row r="54" spans="1:9" ht="15" thickBot="1" x14ac:dyDescent="0.4">
      <c r="A54" s="2">
        <v>56</v>
      </c>
      <c r="B54" s="2">
        <v>56</v>
      </c>
      <c r="C54" s="58" t="s">
        <v>1214</v>
      </c>
      <c r="D54" s="32" t="s">
        <v>1214</v>
      </c>
      <c r="E54" s="2" t="s">
        <v>277</v>
      </c>
      <c r="F54" s="2" t="s">
        <v>1177</v>
      </c>
      <c r="G54" s="2" t="str">
        <f>VLOOKUP(ApenasDimensao[[#This Row],[ Dimensão]],mergecampos[#All],1,FALSE)</f>
        <v>Pond. Interno</v>
      </c>
      <c r="H54" s="2">
        <f>ApenasDimensao[[#This Row],[$DimensaoID]]</f>
        <v>56</v>
      </c>
      <c r="I54" s="2" t="s">
        <v>1177</v>
      </c>
    </row>
    <row r="55" spans="1:9" ht="15" thickBot="1" x14ac:dyDescent="0.4">
      <c r="A55" s="2">
        <v>57</v>
      </c>
      <c r="B55" s="2">
        <v>57</v>
      </c>
      <c r="C55" s="58" t="s">
        <v>1215</v>
      </c>
      <c r="D55" s="32" t="s">
        <v>1215</v>
      </c>
      <c r="E55" s="2" t="s">
        <v>277</v>
      </c>
      <c r="F55" s="2" t="s">
        <v>1177</v>
      </c>
      <c r="G55" s="2" t="str">
        <f>VLOOKUP(ApenasDimensao[[#This Row],[ Dimensão]],mergecampos[#All],1,FALSE)</f>
        <v>Pond. Ped ate Fat</v>
      </c>
      <c r="H55" s="2">
        <f>ApenasDimensao[[#This Row],[$DimensaoID]]</f>
        <v>57</v>
      </c>
      <c r="I55" s="2" t="s">
        <v>1177</v>
      </c>
    </row>
    <row r="56" spans="1:9" ht="15" thickBot="1" x14ac:dyDescent="0.4">
      <c r="A56" s="2">
        <v>58</v>
      </c>
      <c r="B56" s="2">
        <v>58</v>
      </c>
      <c r="C56" s="58" t="s">
        <v>1216</v>
      </c>
      <c r="D56" s="32" t="s">
        <v>1216</v>
      </c>
      <c r="E56" s="2" t="s">
        <v>277</v>
      </c>
      <c r="F56" s="2" t="s">
        <v>1177</v>
      </c>
      <c r="G56" s="2" t="str">
        <f>VLOOKUP(ApenasDimensao[[#This Row],[ Dimensão]],mergecampos[#All],1,FALSE)</f>
        <v>QTD</v>
      </c>
      <c r="H56" s="2">
        <f>ApenasDimensao[[#This Row],[$DimensaoID]]</f>
        <v>58</v>
      </c>
      <c r="I56" s="2" t="s">
        <v>1177</v>
      </c>
    </row>
    <row r="57" spans="1:9" ht="15" thickBot="1" x14ac:dyDescent="0.4">
      <c r="A57" s="2">
        <v>59</v>
      </c>
      <c r="B57" s="2">
        <v>59</v>
      </c>
      <c r="C57" s="58" t="s">
        <v>1217</v>
      </c>
      <c r="D57" s="32" t="s">
        <v>1217</v>
      </c>
      <c r="E57" s="2" t="s">
        <v>277</v>
      </c>
      <c r="F57" s="2" t="s">
        <v>1177</v>
      </c>
      <c r="G57" s="2" t="str">
        <f>VLOOKUP(ApenasDimensao[[#This Row],[ Dimensão]],mergecampos[#All],1,FALSE)</f>
        <v>QTD_ESTOQUE</v>
      </c>
      <c r="H57" s="2">
        <f>ApenasDimensao[[#This Row],[$DimensaoID]]</f>
        <v>59</v>
      </c>
      <c r="I57" s="2" t="s">
        <v>1177</v>
      </c>
    </row>
    <row r="58" spans="1:9" ht="15" thickBot="1" x14ac:dyDescent="0.4">
      <c r="A58" s="2">
        <v>60</v>
      </c>
      <c r="B58" s="2">
        <v>60</v>
      </c>
      <c r="C58" s="58" t="s">
        <v>1218</v>
      </c>
      <c r="D58" s="32" t="s">
        <v>1218</v>
      </c>
      <c r="E58" s="2" t="s">
        <v>277</v>
      </c>
      <c r="F58" s="2" t="s">
        <v>1177</v>
      </c>
      <c r="G58" s="2" t="str">
        <f>VLOOKUP(ApenasDimensao[[#This Row],[ Dimensão]],mergecampos[#All],1,FALSE)</f>
        <v>QTD_PROJETADO</v>
      </c>
      <c r="H58" s="2">
        <f>ApenasDimensao[[#This Row],[$DimensaoID]]</f>
        <v>60</v>
      </c>
      <c r="I58" s="2" t="s">
        <v>1177</v>
      </c>
    </row>
    <row r="59" spans="1:9" ht="15" thickBot="1" x14ac:dyDescent="0.4">
      <c r="A59" s="2">
        <v>61</v>
      </c>
      <c r="B59" s="2">
        <v>61</v>
      </c>
      <c r="C59" s="58" t="s">
        <v>1219</v>
      </c>
      <c r="D59" s="32" t="s">
        <v>1219</v>
      </c>
      <c r="E59" s="2" t="s">
        <v>277</v>
      </c>
      <c r="F59" s="2" t="s">
        <v>1159</v>
      </c>
      <c r="G59" s="2" t="str">
        <f>VLOOKUP(ApenasDimensao[[#This Row],[ Dimensão]],mergecampos[#All],1,FALSE)</f>
        <v>Quarter_db</v>
      </c>
      <c r="H59" s="2">
        <f>ApenasDimensao[[#This Row],[$DimensaoID]]</f>
        <v>61</v>
      </c>
      <c r="I59" s="2" t="s">
        <v>1159</v>
      </c>
    </row>
    <row r="60" spans="1:9" ht="15" thickBot="1" x14ac:dyDescent="0.4">
      <c r="A60" s="2">
        <v>62</v>
      </c>
      <c r="B60" s="2">
        <v>62</v>
      </c>
      <c r="C60" s="58" t="s">
        <v>1220</v>
      </c>
      <c r="D60" s="32" t="s">
        <v>1220</v>
      </c>
      <c r="E60" s="2" t="s">
        <v>277</v>
      </c>
      <c r="F60" s="2" t="s">
        <v>1159</v>
      </c>
      <c r="G60" s="2" t="str">
        <f>VLOOKUP(ApenasDimensao[[#This Row],[ Dimensão]],mergecampos[#All],1,FALSE)</f>
        <v>Semester_db</v>
      </c>
      <c r="H60" s="2">
        <f>ApenasDimensao[[#This Row],[$DimensaoID]]</f>
        <v>62</v>
      </c>
      <c r="I60" s="2" t="s">
        <v>1159</v>
      </c>
    </row>
    <row r="61" spans="1:9" ht="15" thickBot="1" x14ac:dyDescent="0.4">
      <c r="A61" s="2">
        <v>63</v>
      </c>
      <c r="B61" s="2">
        <v>63</v>
      </c>
      <c r="C61" s="58" t="s">
        <v>1221</v>
      </c>
      <c r="D61" s="32" t="s">
        <v>1221</v>
      </c>
      <c r="E61" s="2" t="s">
        <v>277</v>
      </c>
      <c r="F61" s="2" t="s">
        <v>1177</v>
      </c>
      <c r="G61" s="2" t="str">
        <f>VLOOKUP(ApenasDimensao[[#This Row],[ Dimensão]],mergecampos[#All],1,FALSE)</f>
        <v>TIPO_OPERACAO_VENDAS</v>
      </c>
      <c r="H61" s="2">
        <f>ApenasDimensao[[#This Row],[$DimensaoID]]</f>
        <v>63</v>
      </c>
      <c r="I61" s="2" t="s">
        <v>1177</v>
      </c>
    </row>
    <row r="62" spans="1:9" ht="15" thickBot="1" x14ac:dyDescent="0.4">
      <c r="A62" s="2">
        <v>64</v>
      </c>
      <c r="B62" s="2">
        <v>64</v>
      </c>
      <c r="C62" s="58" t="s">
        <v>1222</v>
      </c>
      <c r="D62" s="32" t="s">
        <v>1222</v>
      </c>
      <c r="E62" s="2" t="s">
        <v>277</v>
      </c>
      <c r="F62" s="2" t="s">
        <v>1177</v>
      </c>
      <c r="G62" s="2" t="str">
        <f>VLOOKUP(ApenasDimensao[[#This Row],[ Dimensão]],mergecampos[#All],1,FALSE)</f>
        <v>TIPOVENDA</v>
      </c>
      <c r="H62" s="2">
        <f>ApenasDimensao[[#This Row],[$DimensaoID]]</f>
        <v>64</v>
      </c>
      <c r="I62" s="2" t="s">
        <v>1177</v>
      </c>
    </row>
    <row r="63" spans="1:9" ht="15" thickBot="1" x14ac:dyDescent="0.4">
      <c r="A63" s="2">
        <v>65</v>
      </c>
      <c r="B63" s="2">
        <v>65</v>
      </c>
      <c r="C63" s="58" t="s">
        <v>1223</v>
      </c>
      <c r="D63" s="32" t="s">
        <v>1223</v>
      </c>
      <c r="E63" s="2" t="s">
        <v>277</v>
      </c>
      <c r="F63" s="2" t="s">
        <v>1177</v>
      </c>
      <c r="G63" s="2" t="str">
        <f>VLOOKUP(ApenasDimensao[[#This Row],[ Dimensão]],mergecampos[#All],1,FALSE)</f>
        <v>TOTAL_CONTABIL_PV</v>
      </c>
      <c r="H63" s="2">
        <f>ApenasDimensao[[#This Row],[$DimensaoID]]</f>
        <v>65</v>
      </c>
      <c r="I63" s="2" t="s">
        <v>1177</v>
      </c>
    </row>
    <row r="64" spans="1:9" ht="15" thickBot="1" x14ac:dyDescent="0.4">
      <c r="A64" s="2">
        <v>66</v>
      </c>
      <c r="B64" s="2">
        <v>66</v>
      </c>
      <c r="C64" s="58" t="s">
        <v>1224</v>
      </c>
      <c r="D64" s="32" t="s">
        <v>1224</v>
      </c>
      <c r="E64" s="2" t="s">
        <v>277</v>
      </c>
      <c r="F64" s="2" t="s">
        <v>1177</v>
      </c>
      <c r="G64" s="2" t="str">
        <f>VLOOKUP(ApenasDimensao[[#This Row],[ Dimensão]],mergecampos[#All],1,FALSE)</f>
        <v>TOTAL_PONDERADO_PV</v>
      </c>
      <c r="H64" s="2">
        <f>ApenasDimensao[[#This Row],[$DimensaoID]]</f>
        <v>66</v>
      </c>
      <c r="I64" s="2" t="s">
        <v>1177</v>
      </c>
    </row>
    <row r="65" spans="1:9" ht="15" thickBot="1" x14ac:dyDescent="0.4">
      <c r="A65" s="2">
        <v>67</v>
      </c>
      <c r="B65" s="2">
        <v>67</v>
      </c>
      <c r="C65" s="58" t="s">
        <v>1225</v>
      </c>
      <c r="D65" s="32" t="s">
        <v>1225</v>
      </c>
      <c r="E65" s="2" t="s">
        <v>277</v>
      </c>
      <c r="F65" s="2" t="s">
        <v>1180</v>
      </c>
      <c r="G65" s="2" t="str">
        <f>VLOOKUP(ApenasDimensao[[#This Row],[ Dimensão]],mergecampos[#All],1,FALSE)</f>
        <v>ULT_COD_SCRUZ</v>
      </c>
      <c r="H65" s="2">
        <f>ApenasDimensao[[#This Row],[$DimensaoID]]</f>
        <v>67</v>
      </c>
      <c r="I65" s="2" t="s">
        <v>1180</v>
      </c>
    </row>
    <row r="66" spans="1:9" ht="15" thickBot="1" x14ac:dyDescent="0.4">
      <c r="A66" s="2">
        <v>68</v>
      </c>
      <c r="B66" s="2">
        <v>68</v>
      </c>
      <c r="C66" s="58" t="s">
        <v>1226</v>
      </c>
      <c r="D66" s="32" t="s">
        <v>1226</v>
      </c>
      <c r="E66" s="2" t="s">
        <v>277</v>
      </c>
      <c r="F66" s="2" t="s">
        <v>1177</v>
      </c>
      <c r="G66" s="2" t="str">
        <f>VLOOKUP(ApenasDimensao[[#This Row],[ Dimensão]],mergecampos[#All],1,FALSE)</f>
        <v>Valor Liq. NF BRL</v>
      </c>
      <c r="H66" s="2">
        <f>ApenasDimensao[[#This Row],[$DimensaoID]]</f>
        <v>68</v>
      </c>
      <c r="I66" s="2" t="s">
        <v>1177</v>
      </c>
    </row>
    <row r="67" spans="1:9" ht="15" thickBot="1" x14ac:dyDescent="0.4">
      <c r="A67" s="2">
        <v>69</v>
      </c>
      <c r="B67" s="2">
        <v>69</v>
      </c>
      <c r="C67" s="58" t="s">
        <v>1227</v>
      </c>
      <c r="D67" s="32" t="s">
        <v>1227</v>
      </c>
      <c r="E67" s="2" t="s">
        <v>277</v>
      </c>
      <c r="F67" s="2" t="s">
        <v>1177</v>
      </c>
      <c r="G67" s="2" t="str">
        <f>VLOOKUP(ApenasDimensao[[#This Row],[ Dimensão]],mergecampos[#All],1,FALSE)</f>
        <v>Valor Liq. NF BRL Interno</v>
      </c>
      <c r="H67" s="2">
        <f>ApenasDimensao[[#This Row],[$DimensaoID]]</f>
        <v>69</v>
      </c>
      <c r="I67" s="2" t="s">
        <v>1177</v>
      </c>
    </row>
    <row r="68" spans="1:9" ht="15" thickBot="1" x14ac:dyDescent="0.4">
      <c r="A68" s="2">
        <v>70</v>
      </c>
      <c r="B68" s="2">
        <v>70</v>
      </c>
      <c r="C68" s="58" t="s">
        <v>1228</v>
      </c>
      <c r="D68" s="32" t="s">
        <v>1228</v>
      </c>
      <c r="E68" s="2" t="s">
        <v>277</v>
      </c>
      <c r="F68" s="2" t="s">
        <v>1177</v>
      </c>
      <c r="G68" s="2" t="str">
        <f>VLOOKUP(ApenasDimensao[[#This Row],[ Dimensão]],mergecampos[#All],1,FALSE)</f>
        <v>VB</v>
      </c>
      <c r="H68" s="2">
        <f>ApenasDimensao[[#This Row],[$DimensaoID]]</f>
        <v>70</v>
      </c>
      <c r="I68" s="2" t="s">
        <v>1177</v>
      </c>
    </row>
    <row r="69" spans="1:9" ht="15" thickBot="1" x14ac:dyDescent="0.4">
      <c r="A69" s="2">
        <v>71</v>
      </c>
      <c r="B69" s="2">
        <v>71</v>
      </c>
      <c r="C69" s="58" t="s">
        <v>1229</v>
      </c>
      <c r="D69" s="32" t="s">
        <v>1229</v>
      </c>
      <c r="E69" s="2" t="s">
        <v>277</v>
      </c>
      <c r="F69" s="2" t="s">
        <v>1177</v>
      </c>
      <c r="G69" s="2" t="str">
        <f>VLOOKUP(ApenasDimensao[[#This Row],[ Dimensão]],mergecampos[#All],1,FALSE)</f>
        <v>VB_DEVOL</v>
      </c>
      <c r="H69" s="2">
        <f>ApenasDimensao[[#This Row],[$DimensaoID]]</f>
        <v>71</v>
      </c>
      <c r="I69" s="2" t="s">
        <v>1177</v>
      </c>
    </row>
    <row r="70" spans="1:9" ht="15" thickBot="1" x14ac:dyDescent="0.4">
      <c r="A70" s="2">
        <v>72</v>
      </c>
      <c r="B70" s="2">
        <v>72</v>
      </c>
      <c r="C70" s="58" t="s">
        <v>1230</v>
      </c>
      <c r="D70" s="32" t="s">
        <v>1230</v>
      </c>
      <c r="E70" s="2" t="s">
        <v>277</v>
      </c>
      <c r="F70" s="2" t="s">
        <v>1177</v>
      </c>
      <c r="G70" s="2" t="str">
        <f>VLOOKUP(ApenasDimensao[[#This Row],[ Dimensão]],mergecampos[#All],1,FALSE)</f>
        <v>VB_PROJETADO</v>
      </c>
      <c r="H70" s="2">
        <f>ApenasDimensao[[#This Row],[$DimensaoID]]</f>
        <v>72</v>
      </c>
      <c r="I70" s="2" t="s">
        <v>1177</v>
      </c>
    </row>
    <row r="71" spans="1:9" ht="15" thickBot="1" x14ac:dyDescent="0.4">
      <c r="A71" s="2">
        <v>73</v>
      </c>
      <c r="B71" s="2">
        <v>73</v>
      </c>
      <c r="C71" s="58" t="s">
        <v>1231</v>
      </c>
      <c r="D71" s="32" t="s">
        <v>1231</v>
      </c>
      <c r="E71" s="2" t="s">
        <v>471</v>
      </c>
      <c r="F71" s="2" t="s">
        <v>1177</v>
      </c>
      <c r="G71" s="2" t="str">
        <f>VLOOKUP(ApenasDimensao[[#This Row],[ Dimensão]],mergecampos[#All],1,FALSE)</f>
        <v>VLR_COM_REBATE</v>
      </c>
      <c r="H71" s="2">
        <f>ApenasDimensao[[#This Row],[$DimensaoID]]</f>
        <v>73</v>
      </c>
      <c r="I71" s="2" t="s">
        <v>1177</v>
      </c>
    </row>
    <row r="72" spans="1:9" ht="15" thickBot="1" x14ac:dyDescent="0.4">
      <c r="A72" s="2">
        <v>74</v>
      </c>
      <c r="B72" s="2">
        <v>74</v>
      </c>
      <c r="C72" s="58" t="s">
        <v>1232</v>
      </c>
      <c r="D72" s="32" t="s">
        <v>1232</v>
      </c>
      <c r="E72" s="2" t="s">
        <v>471</v>
      </c>
      <c r="F72" s="2" t="s">
        <v>1177</v>
      </c>
      <c r="G72" s="2" t="str">
        <f>VLOOKUP(ApenasDimensao[[#This Row],[ Dimensão]],mergecampos[#All],1,FALSE)</f>
        <v>VLR_ESTOQUE_PF</v>
      </c>
      <c r="H72" s="2">
        <f>ApenasDimensao[[#This Row],[$DimensaoID]]</f>
        <v>74</v>
      </c>
      <c r="I72" s="2" t="s">
        <v>1177</v>
      </c>
    </row>
    <row r="73" spans="1:9" ht="15" thickBot="1" x14ac:dyDescent="0.4">
      <c r="A73" s="2">
        <v>75</v>
      </c>
      <c r="B73" s="2">
        <v>75</v>
      </c>
      <c r="C73" s="58" t="s">
        <v>1233</v>
      </c>
      <c r="D73" s="32" t="s">
        <v>1233</v>
      </c>
      <c r="E73" s="2" t="s">
        <v>471</v>
      </c>
      <c r="F73" s="2" t="s">
        <v>1177</v>
      </c>
      <c r="G73" s="2" t="str">
        <f>VLOOKUP(ApenasDimensao[[#This Row],[ Dimensão]],mergecampos[#All],1,FALSE)</f>
        <v>VLR_VPF_3MESES</v>
      </c>
      <c r="H73" s="2">
        <f>ApenasDimensao[[#This Row],[$DimensaoID]]</f>
        <v>75</v>
      </c>
      <c r="I73" s="2" t="s">
        <v>1177</v>
      </c>
    </row>
    <row r="74" spans="1:9" ht="15" thickBot="1" x14ac:dyDescent="0.4">
      <c r="A74" s="2">
        <v>76</v>
      </c>
      <c r="B74" s="2">
        <v>76</v>
      </c>
      <c r="C74" s="58" t="s">
        <v>1234</v>
      </c>
      <c r="D74" s="32" t="s">
        <v>1234</v>
      </c>
      <c r="E74" s="2" t="s">
        <v>471</v>
      </c>
      <c r="F74" s="2" t="s">
        <v>1177</v>
      </c>
      <c r="G74" s="2" t="str">
        <f>VLOOKUP(ApenasDimensao[[#This Row],[ Dimensão]],mergecampos[#All],1,FALSE)</f>
        <v>VLR_VPF_ESTOQUE_LIVRE</v>
      </c>
      <c r="H74" s="2">
        <f>ApenasDimensao[[#This Row],[$DimensaoID]]</f>
        <v>76</v>
      </c>
      <c r="I74" s="2" t="s">
        <v>1177</v>
      </c>
    </row>
    <row r="75" spans="1:9" ht="15" thickBot="1" x14ac:dyDescent="0.4">
      <c r="A75" s="2">
        <v>77</v>
      </c>
      <c r="B75" s="2">
        <v>77</v>
      </c>
      <c r="C75" s="58" t="s">
        <v>1235</v>
      </c>
      <c r="D75" s="32" t="s">
        <v>1235</v>
      </c>
      <c r="E75" s="2" t="s">
        <v>471</v>
      </c>
      <c r="F75" s="2" t="s">
        <v>1177</v>
      </c>
      <c r="G75" s="2" t="str">
        <f>VLOOKUP(ApenasDimensao[[#This Row],[ Dimensão]],mergecampos[#All],1,FALSE)</f>
        <v>VLR_VPF_PROJETADA</v>
      </c>
      <c r="H75" s="2">
        <f>ApenasDimensao[[#This Row],[$DimensaoID]]</f>
        <v>77</v>
      </c>
      <c r="I75" s="2" t="s">
        <v>1177</v>
      </c>
    </row>
    <row r="76" spans="1:9" ht="15" thickBot="1" x14ac:dyDescent="0.4">
      <c r="A76" s="2">
        <v>78</v>
      </c>
      <c r="B76" s="2">
        <v>78</v>
      </c>
      <c r="C76" s="58" t="s">
        <v>1236</v>
      </c>
      <c r="D76" s="32" t="s">
        <v>1236</v>
      </c>
      <c r="E76" s="2" t="s">
        <v>277</v>
      </c>
      <c r="F76" s="2" t="s">
        <v>1177</v>
      </c>
      <c r="G76" s="2" t="str">
        <f>VLOOKUP(ApenasDimensao[[#This Row],[ Dimensão]],mergecampos[#All],1,FALSE)</f>
        <v>VPF</v>
      </c>
      <c r="H76" s="2">
        <f>ApenasDimensao[[#This Row],[$DimensaoID]]</f>
        <v>78</v>
      </c>
      <c r="I76" s="2" t="s">
        <v>1177</v>
      </c>
    </row>
    <row r="77" spans="1:9" ht="15" thickBot="1" x14ac:dyDescent="0.4">
      <c r="A77" s="2">
        <v>79</v>
      </c>
      <c r="B77" s="2">
        <v>79</v>
      </c>
      <c r="C77" s="58" t="s">
        <v>1237</v>
      </c>
      <c r="D77" s="32" t="s">
        <v>1237</v>
      </c>
      <c r="E77" s="2" t="s">
        <v>277</v>
      </c>
      <c r="F77" s="2" t="s">
        <v>1177</v>
      </c>
      <c r="G77" s="2" t="str">
        <f>VLOOKUP(ApenasDimensao[[#This Row],[ Dimensão]],mergecampos[#All],1,FALSE)</f>
        <v>VPF_PROJETADO</v>
      </c>
      <c r="H77" s="2">
        <f>ApenasDimensao[[#This Row],[$DimensaoID]]</f>
        <v>79</v>
      </c>
      <c r="I77" s="2" t="s">
        <v>1177</v>
      </c>
    </row>
    <row r="78" spans="1:9" ht="15" thickBot="1" x14ac:dyDescent="0.4">
      <c r="A78" s="2">
        <v>80</v>
      </c>
      <c r="B78" s="2">
        <v>80</v>
      </c>
      <c r="C78" s="58" t="s">
        <v>1238</v>
      </c>
      <c r="D78" s="32" t="s">
        <v>1238</v>
      </c>
      <c r="E78" s="2" t="s">
        <v>277</v>
      </c>
      <c r="F78" s="2" t="s">
        <v>1159</v>
      </c>
      <c r="G78" s="2" t="str">
        <f>VLOOKUP(ApenasDimensao[[#This Row],[ Dimensão]],mergecampos[#All],1,FALSE)</f>
        <v>Week_db</v>
      </c>
      <c r="H78" s="2">
        <f>ApenasDimensao[[#This Row],[$DimensaoID]]</f>
        <v>80</v>
      </c>
      <c r="I78" s="2" t="s">
        <v>1159</v>
      </c>
    </row>
    <row r="79" spans="1:9" ht="15" thickBot="1" x14ac:dyDescent="0.4">
      <c r="A79" s="2">
        <v>81</v>
      </c>
      <c r="B79" s="2">
        <v>81</v>
      </c>
      <c r="C79" s="58" t="s">
        <v>1239</v>
      </c>
      <c r="D79" s="32" t="s">
        <v>1239</v>
      </c>
      <c r="E79" s="2" t="s">
        <v>277</v>
      </c>
      <c r="F79" s="2" t="s">
        <v>1159</v>
      </c>
      <c r="G79" s="2" t="str">
        <f>VLOOKUP(ApenasDimensao[[#This Row],[ Dimensão]],mergecampos[#All],1,FALSE)</f>
        <v>Week_of_Year_db</v>
      </c>
      <c r="H79" s="2">
        <f>ApenasDimensao[[#This Row],[$DimensaoID]]</f>
        <v>81</v>
      </c>
      <c r="I79" s="2" t="s">
        <v>1159</v>
      </c>
    </row>
    <row r="80" spans="1:9" x14ac:dyDescent="0.35">
      <c r="A80" s="2">
        <v>82</v>
      </c>
      <c r="B80" s="2">
        <v>82</v>
      </c>
      <c r="C80" s="33" t="s">
        <v>1240</v>
      </c>
      <c r="D80" s="32" t="s">
        <v>1240</v>
      </c>
      <c r="E80" s="3" t="s">
        <v>277</v>
      </c>
      <c r="F80" s="3" t="s">
        <v>1159</v>
      </c>
      <c r="G80" s="3" t="str">
        <f>VLOOKUP(ApenasDimensao[[#This Row],[ Dimensão]],mergecampos[#All],1,FALSE)</f>
        <v>Year_db</v>
      </c>
      <c r="H80" s="3">
        <f>ApenasDimensao[[#This Row],[$DimensaoID]]</f>
        <v>82</v>
      </c>
      <c r="I80" s="3" t="s">
        <v>1159</v>
      </c>
    </row>
  </sheetData>
  <conditionalFormatting sqref="C2:C1048576 D1">
    <cfRule type="duplicateValues" dxfId="12" priority="28500"/>
  </conditionalFormatting>
  <conditionalFormatting sqref="A1:B1">
    <cfRule type="duplicateValues" dxfId="11" priority="28599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opLeftCell="A64" zoomScaleNormal="100" workbookViewId="0">
      <selection activeCell="B68" sqref="B68"/>
    </sheetView>
  </sheetViews>
  <sheetFormatPr defaultColWidth="43.453125" defaultRowHeight="14.5" x14ac:dyDescent="0.35"/>
  <cols>
    <col min="1" max="1" width="31" customWidth="1"/>
    <col min="2" max="2" width="15" bestFit="1" customWidth="1"/>
    <col min="3" max="3" width="53.54296875" customWidth="1"/>
    <col min="4" max="4" width="33.7265625" customWidth="1"/>
    <col min="5" max="5" width="20.26953125" customWidth="1"/>
  </cols>
  <sheetData>
    <row r="1" spans="1:7" ht="15" thickBot="1" x14ac:dyDescent="0.4">
      <c r="A1" t="s">
        <v>96</v>
      </c>
      <c r="B1" t="s">
        <v>480</v>
      </c>
      <c r="C1" t="s">
        <v>94</v>
      </c>
      <c r="D1" t="s">
        <v>482</v>
      </c>
      <c r="E1" t="s">
        <v>476</v>
      </c>
      <c r="F1" t="s">
        <v>490</v>
      </c>
      <c r="G1" t="s">
        <v>491</v>
      </c>
    </row>
    <row r="2" spans="1:7" ht="15" thickBot="1" x14ac:dyDescent="0.4">
      <c r="A2" s="3"/>
      <c r="B2" s="2">
        <v>18</v>
      </c>
      <c r="C2" s="9" t="str">
        <f>VLOOKUP(AbasDimensao[[#This Row],[$DimensaoID]],ApenasDimensao[[$DimensaoID]:[Table]],2,FALSE)</f>
        <v>%OrderDate</v>
      </c>
      <c r="D2" s="4" t="s">
        <v>776</v>
      </c>
      <c r="E2" s="13" t="s">
        <v>477</v>
      </c>
      <c r="F2" s="3">
        <f>AbasDimensao[[#This Row],[$DimensaoID]]</f>
        <v>18</v>
      </c>
      <c r="G2" s="3">
        <f>AbasDimensao[[#This Row],[ $Ordem Visualizar Dimensão]]</f>
        <v>0</v>
      </c>
    </row>
    <row r="3" spans="1:7" ht="15" thickBot="1" x14ac:dyDescent="0.4">
      <c r="A3" s="3">
        <v>2</v>
      </c>
      <c r="B3" s="2">
        <v>2</v>
      </c>
      <c r="C3" s="9" t="str">
        <f>VLOOKUP(AbasDimensao[[#This Row],[$DimensaoID]],ApenasDimensao[[$DimensaoID]:[Table]],2,FALSE)</f>
        <v>_C30Day_db</v>
      </c>
      <c r="D3" s="4" t="s">
        <v>776</v>
      </c>
      <c r="E3" s="13" t="s">
        <v>477</v>
      </c>
      <c r="F3" s="2">
        <f>AbasDimensao[[#This Row],[$DimensaoID]]</f>
        <v>2</v>
      </c>
      <c r="G3" s="3">
        <f>AbasDimensao[[#This Row],[ $Ordem Visualizar Dimensão]]</f>
        <v>2</v>
      </c>
    </row>
    <row r="4" spans="1:7" ht="15" thickBot="1" x14ac:dyDescent="0.4">
      <c r="A4" s="3">
        <v>1</v>
      </c>
      <c r="B4" s="2">
        <v>1</v>
      </c>
      <c r="C4" s="9" t="str">
        <f>VLOOKUP(AbasDimensao[[#This Row],[$DimensaoID]],ApenasDimensao[[$DimensaoID]:[Table]],2,FALSE)</f>
        <v>_C7Day_db</v>
      </c>
      <c r="D4" s="4" t="s">
        <v>828</v>
      </c>
      <c r="E4" s="13" t="s">
        <v>477</v>
      </c>
      <c r="F4" s="3">
        <f>AbasDimensao[[#This Row],[$DimensaoID]]</f>
        <v>1</v>
      </c>
      <c r="G4" s="3">
        <f>AbasDimensao[[#This Row],[ $Ordem Visualizar Dimensão]]</f>
        <v>1</v>
      </c>
    </row>
    <row r="5" spans="1:7" ht="15" thickBot="1" x14ac:dyDescent="0.4">
      <c r="A5" s="3">
        <v>3</v>
      </c>
      <c r="B5" s="2">
        <v>3</v>
      </c>
      <c r="C5" s="9" t="str">
        <f>VLOOKUP(AbasDimensao[[#This Row],[$DimensaoID]],ApenasDimensao[[$DimensaoID]:[Table]],2,FALSE)</f>
        <v>_CMath_db</v>
      </c>
      <c r="D5" s="4" t="s">
        <v>776</v>
      </c>
      <c r="E5" s="13" t="s">
        <v>477</v>
      </c>
      <c r="F5" s="2">
        <f>AbasDimensao[[#This Row],[$DimensaoID]]</f>
        <v>3</v>
      </c>
      <c r="G5" s="3">
        <f>AbasDimensao[[#This Row],[ $Ordem Visualizar Dimensão]]</f>
        <v>3</v>
      </c>
    </row>
    <row r="6" spans="1:7" ht="15" thickBot="1" x14ac:dyDescent="0.4">
      <c r="A6" s="3">
        <v>5</v>
      </c>
      <c r="B6" s="2">
        <v>4</v>
      </c>
      <c r="C6" s="9" t="str">
        <f>VLOOKUP(AbasDimensao[[#This Row],[$DimensaoID]],ApenasDimensao[[$DimensaoID]:[Table]],2,FALSE)</f>
        <v>_CMonth_db</v>
      </c>
      <c r="D6" s="4" t="s">
        <v>828</v>
      </c>
      <c r="E6" s="13" t="s">
        <v>477</v>
      </c>
      <c r="F6" s="2">
        <f>AbasDimensao[[#This Row],[$DimensaoID]]</f>
        <v>4</v>
      </c>
      <c r="G6" s="3">
        <f>AbasDimensao[[#This Row],[ $Ordem Visualizar Dimensão]]</f>
        <v>5</v>
      </c>
    </row>
    <row r="7" spans="1:7" ht="15" thickBot="1" x14ac:dyDescent="0.4">
      <c r="A7" s="3">
        <v>9</v>
      </c>
      <c r="B7" s="2">
        <v>5</v>
      </c>
      <c r="C7" s="9" t="str">
        <f>VLOOKUP(AbasDimensao[[#This Row],[$DimensaoID]],ApenasDimensao[[$DimensaoID]:[Table]],2,FALSE)</f>
        <v>_CSem_db</v>
      </c>
      <c r="D7" s="4" t="s">
        <v>776</v>
      </c>
      <c r="E7" s="13" t="s">
        <v>477</v>
      </c>
      <c r="F7" s="2">
        <f>AbasDimensao[[#This Row],[$DimensaoID]]</f>
        <v>5</v>
      </c>
      <c r="G7" s="3">
        <f>AbasDimensao[[#This Row],[ $Ordem Visualizar Dimensão]]</f>
        <v>9</v>
      </c>
    </row>
    <row r="8" spans="1:7" ht="15" thickBot="1" x14ac:dyDescent="0.4">
      <c r="A8" s="3">
        <v>11</v>
      </c>
      <c r="B8" s="2">
        <v>6</v>
      </c>
      <c r="C8" s="9" t="str">
        <f>VLOOKUP(AbasDimensao[[#This Row],[$DimensaoID]],ApenasDimensao[[$DimensaoID]:[Table]],2,FALSE)</f>
        <v>_CToday_db</v>
      </c>
      <c r="D8" s="4" t="s">
        <v>828</v>
      </c>
      <c r="E8" s="13" t="s">
        <v>477</v>
      </c>
      <c r="F8" s="2">
        <f>AbasDimensao[[#This Row],[$DimensaoID]]</f>
        <v>6</v>
      </c>
      <c r="G8" s="3">
        <f>AbasDimensao[[#This Row],[ $Ordem Visualizar Dimensão]]</f>
        <v>11</v>
      </c>
    </row>
    <row r="9" spans="1:7" ht="15" thickBot="1" x14ac:dyDescent="0.4">
      <c r="A9" s="3">
        <v>12</v>
      </c>
      <c r="B9" s="2">
        <v>7</v>
      </c>
      <c r="C9" s="9" t="str">
        <f>VLOOKUP(AbasDimensao[[#This Row],[$DimensaoID]],ApenasDimensao[[$DimensaoID]:[Table]],2,FALSE)</f>
        <v>_CTrim_db</v>
      </c>
      <c r="D9" s="4" t="s">
        <v>827</v>
      </c>
      <c r="E9" s="13" t="s">
        <v>477</v>
      </c>
      <c r="F9" s="2">
        <f>AbasDimensao[[#This Row],[$DimensaoID]]</f>
        <v>7</v>
      </c>
      <c r="G9" s="3">
        <f>AbasDimensao[[#This Row],[ $Ordem Visualizar Dimensão]]</f>
        <v>12</v>
      </c>
    </row>
    <row r="10" spans="1:7" ht="15" thickBot="1" x14ac:dyDescent="0.4">
      <c r="A10" s="3">
        <v>13</v>
      </c>
      <c r="B10" s="2">
        <v>8</v>
      </c>
      <c r="C10" s="9" t="str">
        <f>VLOOKUP(AbasDimensao[[#This Row],[$DimensaoID]],ApenasDimensao[[$DimensaoID]:[Table]],2,FALSE)</f>
        <v>_CY_db</v>
      </c>
      <c r="D10" s="4" t="s">
        <v>827</v>
      </c>
      <c r="E10" s="13" t="s">
        <v>477</v>
      </c>
      <c r="F10" s="57">
        <f>AbasDimensao[[#This Row],[$DimensaoID]]</f>
        <v>8</v>
      </c>
      <c r="G10" s="3">
        <f>AbasDimensao[[#This Row],[ $Ordem Visualizar Dimensão]]</f>
        <v>13</v>
      </c>
    </row>
    <row r="11" spans="1:7" ht="15" thickBot="1" x14ac:dyDescent="0.4">
      <c r="A11" s="3">
        <v>15</v>
      </c>
      <c r="B11" s="2">
        <v>9</v>
      </c>
      <c r="C11" s="9" t="str">
        <f>VLOOKUP(AbasDimensao[[#This Row],[$DimensaoID]],ApenasDimensao[[$DimensaoID]:[Table]],2,FALSE)</f>
        <v>_CYtd_db</v>
      </c>
      <c r="D11" s="4" t="s">
        <v>827</v>
      </c>
      <c r="E11" s="13" t="s">
        <v>477</v>
      </c>
      <c r="F11" s="2">
        <f>AbasDimensao[[#This Row],[$DimensaoID]]</f>
        <v>9</v>
      </c>
      <c r="G11" s="3">
        <f>AbasDimensao[[#This Row],[ $Ordem Visualizar Dimensão]]</f>
        <v>15</v>
      </c>
    </row>
    <row r="12" spans="1:7" ht="15" thickBot="1" x14ac:dyDescent="0.4">
      <c r="A12" s="3">
        <v>16</v>
      </c>
      <c r="B12" s="2">
        <v>10</v>
      </c>
      <c r="C12" s="9" t="str">
        <f>VLOOKUP(AbasDimensao[[#This Row],[$DimensaoID]],ApenasDimensao[[$DimensaoID]:[Table]],2,FALSE)</f>
        <v>_CYtdFechado_db</v>
      </c>
      <c r="D12" s="5" t="s">
        <v>827</v>
      </c>
      <c r="E12" s="13" t="s">
        <v>477</v>
      </c>
      <c r="F12" s="2">
        <f>AbasDimensao[[#This Row],[$DimensaoID]]</f>
        <v>10</v>
      </c>
      <c r="G12" s="3">
        <f>AbasDimensao[[#This Row],[ $Ordem Visualizar Dimensão]]</f>
        <v>16</v>
      </c>
    </row>
    <row r="13" spans="1:7" ht="15" thickBot="1" x14ac:dyDescent="0.4">
      <c r="A13" s="3">
        <v>17</v>
      </c>
      <c r="B13" s="2">
        <v>11</v>
      </c>
      <c r="C13" s="9" t="str">
        <f>VLOOKUP(AbasDimensao[[#This Row],[$DimensaoID]],ApenasDimensao[[$DimensaoID]:[Table]],2,FALSE)</f>
        <v>_PMath_db</v>
      </c>
      <c r="D13" s="5" t="s">
        <v>827</v>
      </c>
      <c r="E13" s="13" t="s">
        <v>477</v>
      </c>
      <c r="F13" s="3">
        <f>AbasDimensao[[#This Row],[$DimensaoID]]</f>
        <v>11</v>
      </c>
      <c r="G13" s="3">
        <f>AbasDimensao[[#This Row],[ $Ordem Visualizar Dimensão]]</f>
        <v>17</v>
      </c>
    </row>
    <row r="14" spans="1:7" ht="15" thickBot="1" x14ac:dyDescent="0.4">
      <c r="A14" s="3">
        <v>18</v>
      </c>
      <c r="B14" s="2">
        <v>12</v>
      </c>
      <c r="C14" s="9" t="str">
        <f>VLOOKUP(AbasDimensao[[#This Row],[$DimensaoID]],ApenasDimensao[[$DimensaoID]:[Table]],2,FALSE)</f>
        <v>_PMonth_db</v>
      </c>
      <c r="D14" s="5" t="s">
        <v>827</v>
      </c>
      <c r="E14" s="13" t="s">
        <v>477</v>
      </c>
      <c r="F14" s="3">
        <f>AbasDimensao[[#This Row],[$DimensaoID]]</f>
        <v>12</v>
      </c>
      <c r="G14" s="3">
        <f>AbasDimensao[[#This Row],[ $Ordem Visualizar Dimensão]]</f>
        <v>18</v>
      </c>
    </row>
    <row r="15" spans="1:7" ht="15" thickBot="1" x14ac:dyDescent="0.4">
      <c r="A15" s="1">
        <v>19</v>
      </c>
      <c r="B15" s="2">
        <v>13</v>
      </c>
      <c r="C15" s="9" t="str">
        <f>VLOOKUP(AbasDimensao[[#This Row],[$DimensaoID]],ApenasDimensao[[$DimensaoID]:[Table]],2,FALSE)</f>
        <v>_PSem_db</v>
      </c>
      <c r="D15" s="5" t="s">
        <v>776</v>
      </c>
      <c r="E15" s="1" t="s">
        <v>477</v>
      </c>
      <c r="F15" s="1">
        <f>AbasDimensao[[#This Row],[$DimensaoID]]</f>
        <v>13</v>
      </c>
      <c r="G15" s="3">
        <f>AbasDimensao[[#This Row],[ $Ordem Visualizar Dimensão]]</f>
        <v>19</v>
      </c>
    </row>
    <row r="16" spans="1:7" ht="15" thickBot="1" x14ac:dyDescent="0.4">
      <c r="A16" s="3">
        <v>20</v>
      </c>
      <c r="B16" s="2">
        <v>14</v>
      </c>
      <c r="C16" s="59" t="str">
        <f>VLOOKUP(AbasDimensao[[#This Row],[$DimensaoID]],ApenasDimensao[[$DimensaoID]:[Table]],2,FALSE)</f>
        <v>_PTrim_db</v>
      </c>
      <c r="D16" s="4" t="s">
        <v>776</v>
      </c>
      <c r="E16" s="1" t="s">
        <v>477</v>
      </c>
      <c r="F16" s="3">
        <f>AbasDimensao[[#This Row],[$DimensaoID]]</f>
        <v>14</v>
      </c>
      <c r="G16" s="3">
        <f>AbasDimensao[[#This Row],[ $Ordem Visualizar Dimensão]]</f>
        <v>20</v>
      </c>
    </row>
    <row r="17" spans="1:7" ht="15" thickBot="1" x14ac:dyDescent="0.4">
      <c r="A17" s="1">
        <v>21</v>
      </c>
      <c r="B17" s="2">
        <v>15</v>
      </c>
      <c r="C17" s="9" t="str">
        <f>VLOOKUP(AbasDimensao[[#This Row],[$DimensaoID]],ApenasDimensao[[$DimensaoID]:[Table]],2,FALSE)</f>
        <v>_PY_db</v>
      </c>
      <c r="D17" s="4" t="s">
        <v>776</v>
      </c>
      <c r="E17" s="13" t="s">
        <v>477</v>
      </c>
      <c r="F17" s="3">
        <f>AbasDimensao[[#This Row],[$DimensaoID]]</f>
        <v>15</v>
      </c>
      <c r="G17" s="3">
        <f>AbasDimensao[[#This Row],[ $Ordem Visualizar Dimensão]]</f>
        <v>21</v>
      </c>
    </row>
    <row r="18" spans="1:7" ht="15" thickBot="1" x14ac:dyDescent="0.4">
      <c r="A18" s="3">
        <v>22</v>
      </c>
      <c r="B18" s="2">
        <v>16</v>
      </c>
      <c r="C18" s="9" t="str">
        <f>VLOOKUP(AbasDimensao[[#This Row],[$DimensaoID]],ApenasDimensao[[$DimensaoID]:[Table]],2,FALSE)</f>
        <v>_PYtd_db</v>
      </c>
      <c r="D18" s="4" t="s">
        <v>776</v>
      </c>
      <c r="E18" s="13" t="s">
        <v>477</v>
      </c>
      <c r="F18" s="3">
        <f>AbasDimensao[[#This Row],[$DimensaoID]]</f>
        <v>16</v>
      </c>
      <c r="G18" s="3">
        <f>AbasDimensao[[#This Row],[ $Ordem Visualizar Dimensão]]</f>
        <v>22</v>
      </c>
    </row>
    <row r="19" spans="1:7" ht="15" thickBot="1" x14ac:dyDescent="0.4">
      <c r="A19" s="1">
        <v>23</v>
      </c>
      <c r="B19" s="2">
        <v>17</v>
      </c>
      <c r="C19" s="9" t="str">
        <f>VLOOKUP(AbasDimensao[[#This Row],[$DimensaoID]],ApenasDimensao[[$DimensaoID]:[Table]],2,FALSE)</f>
        <v>_PYtdFechado_db</v>
      </c>
      <c r="D19" s="4" t="s">
        <v>776</v>
      </c>
      <c r="E19" s="13" t="s">
        <v>477</v>
      </c>
      <c r="F19" s="3">
        <f>AbasDimensao[[#This Row],[$DimensaoID]]</f>
        <v>17</v>
      </c>
      <c r="G19" s="3">
        <f>AbasDimensao[[#This Row],[ $Ordem Visualizar Dimensão]]</f>
        <v>23</v>
      </c>
    </row>
    <row r="20" spans="1:7" ht="15" thickBot="1" x14ac:dyDescent="0.4">
      <c r="A20" s="3">
        <v>24</v>
      </c>
      <c r="B20" s="2">
        <v>20</v>
      </c>
      <c r="C20" s="9" t="str">
        <f>VLOOKUP(AbasDimensao[[#This Row],[$DimensaoID]],ApenasDimensao[[$DimensaoID]:[Table]],2,FALSE)</f>
        <v>CMV</v>
      </c>
      <c r="D20" s="4" t="s">
        <v>776</v>
      </c>
      <c r="E20" s="13" t="s">
        <v>477</v>
      </c>
      <c r="F20" s="3">
        <f>AbasDimensao[[#This Row],[$DimensaoID]]</f>
        <v>20</v>
      </c>
      <c r="G20" s="3">
        <f>AbasDimensao[[#This Row],[ $Ordem Visualizar Dimensão]]</f>
        <v>24</v>
      </c>
    </row>
    <row r="21" spans="1:7" ht="15" thickBot="1" x14ac:dyDescent="0.4">
      <c r="A21" s="1">
        <v>25</v>
      </c>
      <c r="B21" s="2">
        <v>21</v>
      </c>
      <c r="C21" s="9" t="str">
        <f>VLOOKUP(AbasDimensao[[#This Row],[$DimensaoID]],ApenasDimensao[[$DimensaoID]:[Table]],2,FALSE)</f>
        <v>COD_BAND_GMR</v>
      </c>
      <c r="D21" s="4" t="s">
        <v>776</v>
      </c>
      <c r="E21" s="13" t="s">
        <v>477</v>
      </c>
      <c r="F21" s="3">
        <f>AbasDimensao[[#This Row],[$DimensaoID]]</f>
        <v>21</v>
      </c>
      <c r="G21" s="3">
        <f>AbasDimensao[[#This Row],[ $Ordem Visualizar Dimensão]]</f>
        <v>25</v>
      </c>
    </row>
    <row r="22" spans="1:7" ht="15" thickBot="1" x14ac:dyDescent="0.4">
      <c r="A22" s="3">
        <v>26</v>
      </c>
      <c r="B22" s="2">
        <v>22</v>
      </c>
      <c r="C22" s="9" t="str">
        <f>VLOOKUP(AbasDimensao[[#This Row],[$DimensaoID]],ApenasDimensao[[$DimensaoID]:[Table]],2,FALSE)</f>
        <v>COD_EAN_MATERIAL</v>
      </c>
      <c r="D22" s="4" t="s">
        <v>776</v>
      </c>
      <c r="E22" s="13" t="s">
        <v>477</v>
      </c>
      <c r="F22" s="3">
        <f>AbasDimensao[[#This Row],[$DimensaoID]]</f>
        <v>22</v>
      </c>
      <c r="G22" s="3">
        <f>AbasDimensao[[#This Row],[ $Ordem Visualizar Dimensão]]</f>
        <v>26</v>
      </c>
    </row>
    <row r="23" spans="1:7" ht="15" thickBot="1" x14ac:dyDescent="0.4">
      <c r="A23" s="1">
        <v>27</v>
      </c>
      <c r="B23" s="2">
        <v>23</v>
      </c>
      <c r="C23" s="9" t="str">
        <f>VLOOKUP(AbasDimensao[[#This Row],[$DimensaoID]],ApenasDimensao[[$DimensaoID]:[Table]],2,FALSE)</f>
        <v>COD_FORNECEDOR_PFAT</v>
      </c>
      <c r="D23" s="4" t="s">
        <v>776</v>
      </c>
      <c r="E23" s="13" t="s">
        <v>477</v>
      </c>
      <c r="F23" s="3">
        <f>AbasDimensao[[#This Row],[$DimensaoID]]</f>
        <v>23</v>
      </c>
      <c r="G23" s="3">
        <f>AbasDimensao[[#This Row],[ $Ordem Visualizar Dimensão]]</f>
        <v>27</v>
      </c>
    </row>
    <row r="24" spans="1:7" ht="15" thickBot="1" x14ac:dyDescent="0.4">
      <c r="A24" s="3">
        <v>28</v>
      </c>
      <c r="B24" s="2">
        <v>24</v>
      </c>
      <c r="C24" s="9" t="str">
        <f>VLOOKUP(AbasDimensao[[#This Row],[$DimensaoID]],ApenasDimensao[[$DimensaoID]:[Table]],2,FALSE)</f>
        <v>COD_MATERIAL_SAP</v>
      </c>
      <c r="D24" s="4" t="s">
        <v>776</v>
      </c>
      <c r="E24" s="13" t="s">
        <v>477</v>
      </c>
      <c r="F24" s="3">
        <f>AbasDimensao[[#This Row],[$DimensaoID]]</f>
        <v>24</v>
      </c>
      <c r="G24" s="3">
        <f>AbasDimensao[[#This Row],[ $Ordem Visualizar Dimensão]]</f>
        <v>28</v>
      </c>
    </row>
    <row r="25" spans="1:7" ht="15" thickBot="1" x14ac:dyDescent="0.4">
      <c r="A25" s="1">
        <v>29</v>
      </c>
      <c r="B25" s="2">
        <v>25</v>
      </c>
      <c r="C25" s="9" t="str">
        <f>VLOOKUP(AbasDimensao[[#This Row],[$DimensaoID]],ApenasDimensao[[$DimensaoID]:[Table]],2,FALSE)</f>
        <v>COMPRADOR</v>
      </c>
      <c r="D25" s="4" t="s">
        <v>776</v>
      </c>
      <c r="E25" s="13" t="s">
        <v>477</v>
      </c>
      <c r="F25" s="3">
        <f>AbasDimensao[[#This Row],[$DimensaoID]]</f>
        <v>25</v>
      </c>
      <c r="G25" s="3">
        <f>AbasDimensao[[#This Row],[ $Ordem Visualizar Dimensão]]</f>
        <v>29</v>
      </c>
    </row>
    <row r="26" spans="1:7" ht="15" thickBot="1" x14ac:dyDescent="0.4">
      <c r="A26" s="3">
        <v>30</v>
      </c>
      <c r="B26" s="2">
        <v>26</v>
      </c>
      <c r="C26" s="9" t="str">
        <f>VLOOKUP(AbasDimensao[[#This Row],[$DimensaoID]],ApenasDimensao[[$DimensaoID]:[Table]],2,FALSE)</f>
        <v>Day_db</v>
      </c>
      <c r="D26" s="4" t="s">
        <v>776</v>
      </c>
      <c r="E26" s="13" t="s">
        <v>477</v>
      </c>
      <c r="F26" s="3">
        <f>AbasDimensao[[#This Row],[$DimensaoID]]</f>
        <v>26</v>
      </c>
      <c r="G26" s="3">
        <f>AbasDimensao[[#This Row],[ $Ordem Visualizar Dimensão]]</f>
        <v>30</v>
      </c>
    </row>
    <row r="27" spans="1:7" ht="15" thickBot="1" x14ac:dyDescent="0.4">
      <c r="A27" s="1">
        <v>31</v>
      </c>
      <c r="B27" s="2">
        <v>27</v>
      </c>
      <c r="C27" s="9" t="str">
        <f>VLOOKUP(AbasDimensao[[#This Row],[$DimensaoID]],ApenasDimensao[[$DimensaoID]:[Table]],2,FALSE)</f>
        <v>Day_of_Week_db</v>
      </c>
      <c r="D27" s="4" t="s">
        <v>776</v>
      </c>
      <c r="E27" s="13" t="s">
        <v>477</v>
      </c>
      <c r="F27" s="3">
        <f>AbasDimensao[[#This Row],[$DimensaoID]]</f>
        <v>27</v>
      </c>
      <c r="G27" s="3">
        <f>AbasDimensao[[#This Row],[ $Ordem Visualizar Dimensão]]</f>
        <v>31</v>
      </c>
    </row>
    <row r="28" spans="1:7" ht="15" thickBot="1" x14ac:dyDescent="0.4">
      <c r="A28" s="3">
        <v>32</v>
      </c>
      <c r="B28" s="2">
        <v>28</v>
      </c>
      <c r="C28" s="9" t="str">
        <f>VLOOKUP(AbasDimensao[[#This Row],[$DimensaoID]],ApenasDimensao[[$DimensaoID]:[Table]],2,FALSE)</f>
        <v>Day_of_Week_Name_db</v>
      </c>
      <c r="D28" s="4" t="s">
        <v>776</v>
      </c>
      <c r="E28" s="13" t="s">
        <v>477</v>
      </c>
      <c r="F28" s="3">
        <f>AbasDimensao[[#This Row],[$DimensaoID]]</f>
        <v>28</v>
      </c>
      <c r="G28" s="3">
        <f>AbasDimensao[[#This Row],[ $Ordem Visualizar Dimensão]]</f>
        <v>32</v>
      </c>
    </row>
    <row r="29" spans="1:7" ht="15" thickBot="1" x14ac:dyDescent="0.4">
      <c r="A29" s="1">
        <v>33</v>
      </c>
      <c r="B29" s="2">
        <v>29</v>
      </c>
      <c r="C29" s="9" t="str">
        <f>VLOOKUP(AbasDimensao[[#This Row],[$DimensaoID]],ApenasDimensao[[$DimensaoID]:[Table]],2,FALSE)</f>
        <v>DE_VLR_ESTOQUE_PF</v>
      </c>
      <c r="D29" s="4" t="s">
        <v>776</v>
      </c>
      <c r="E29" s="13" t="s">
        <v>477</v>
      </c>
      <c r="F29" s="3">
        <f>AbasDimensao[[#This Row],[$DimensaoID]]</f>
        <v>29</v>
      </c>
      <c r="G29" s="3">
        <f>AbasDimensao[[#This Row],[ $Ordem Visualizar Dimensão]]</f>
        <v>33</v>
      </c>
    </row>
    <row r="30" spans="1:7" ht="15" thickBot="1" x14ac:dyDescent="0.4">
      <c r="A30" s="3">
        <v>34</v>
      </c>
      <c r="B30" s="2">
        <v>30</v>
      </c>
      <c r="C30" s="9" t="str">
        <f>VLOOKUP(AbasDimensao[[#This Row],[$DimensaoID]],ApenasDimensao[[$DimensaoID]:[Table]],2,FALSE)</f>
        <v>DE_VLR_VPF_PROJETADA</v>
      </c>
      <c r="D30" s="4" t="s">
        <v>776</v>
      </c>
      <c r="E30" s="13" t="s">
        <v>477</v>
      </c>
      <c r="F30" s="3">
        <f>AbasDimensao[[#This Row],[$DimensaoID]]</f>
        <v>30</v>
      </c>
      <c r="G30" s="3">
        <f>AbasDimensao[[#This Row],[ $Ordem Visualizar Dimensão]]</f>
        <v>34</v>
      </c>
    </row>
    <row r="31" spans="1:7" ht="15" thickBot="1" x14ac:dyDescent="0.4">
      <c r="A31" s="1">
        <v>35</v>
      </c>
      <c r="B31" s="2">
        <v>31</v>
      </c>
      <c r="C31" s="9" t="str">
        <f>VLOOKUP(AbasDimensao[[#This Row],[$DimensaoID]],ApenasDimensao[[$DimensaoID]:[Table]],2,FALSE)</f>
        <v>DES_BAND_FORNECEDOR</v>
      </c>
      <c r="D31" s="4" t="s">
        <v>776</v>
      </c>
      <c r="E31" s="13" t="s">
        <v>477</v>
      </c>
      <c r="F31" s="3">
        <f>AbasDimensao[[#This Row],[$DimensaoID]]</f>
        <v>31</v>
      </c>
      <c r="G31" s="3">
        <f>AbasDimensao[[#This Row],[ $Ordem Visualizar Dimensão]]</f>
        <v>35</v>
      </c>
    </row>
    <row r="32" spans="1:7" ht="15" thickBot="1" x14ac:dyDescent="0.4">
      <c r="A32" s="3">
        <v>36</v>
      </c>
      <c r="B32" s="2">
        <v>32</v>
      </c>
      <c r="C32" s="9" t="str">
        <f>VLOOKUP(AbasDimensao[[#This Row],[$DimensaoID]],ApenasDimensao[[$DimensaoID]:[Table]],2,FALSE)</f>
        <v>DES_BAND_GMR</v>
      </c>
      <c r="D32" s="4" t="s">
        <v>776</v>
      </c>
      <c r="E32" s="13" t="s">
        <v>477</v>
      </c>
      <c r="F32" s="3">
        <f>AbasDimensao[[#This Row],[$DimensaoID]]</f>
        <v>32</v>
      </c>
      <c r="G32" s="3">
        <f>AbasDimensao[[#This Row],[ $Ordem Visualizar Dimensão]]</f>
        <v>36</v>
      </c>
    </row>
    <row r="33" spans="1:7" ht="15" thickBot="1" x14ac:dyDescent="0.4">
      <c r="A33" s="1">
        <v>37</v>
      </c>
      <c r="B33" s="2">
        <v>33</v>
      </c>
      <c r="C33" s="9" t="str">
        <f>VLOOKUP(AbasDimensao[[#This Row],[$DimensaoID]],ApenasDimensao[[$DimensaoID]:[Table]],2,FALSE)</f>
        <v>DES_CD</v>
      </c>
      <c r="D33" s="4" t="s">
        <v>776</v>
      </c>
      <c r="E33" s="13" t="s">
        <v>477</v>
      </c>
      <c r="F33" s="3">
        <f>AbasDimensao[[#This Row],[$DimensaoID]]</f>
        <v>33</v>
      </c>
      <c r="G33" s="3">
        <f>AbasDimensao[[#This Row],[ $Ordem Visualizar Dimensão]]</f>
        <v>37</v>
      </c>
    </row>
    <row r="34" spans="1:7" ht="15" thickBot="1" x14ac:dyDescent="0.4">
      <c r="A34" s="3">
        <v>38</v>
      </c>
      <c r="B34" s="2">
        <v>34</v>
      </c>
      <c r="C34" s="9" t="str">
        <f>VLOOKUP(AbasDimensao[[#This Row],[$DimensaoID]],ApenasDimensao[[$DimensaoID]:[Table]],2,FALSE)</f>
        <v>DES_ORIGEM</v>
      </c>
      <c r="D34" s="4" t="s">
        <v>776</v>
      </c>
      <c r="E34" s="13" t="s">
        <v>477</v>
      </c>
      <c r="F34" s="3">
        <f>AbasDimensao[[#This Row],[$DimensaoID]]</f>
        <v>34</v>
      </c>
      <c r="G34" s="3">
        <f>AbasDimensao[[#This Row],[ $Ordem Visualizar Dimensão]]</f>
        <v>38</v>
      </c>
    </row>
    <row r="35" spans="1:7" ht="15" thickBot="1" x14ac:dyDescent="0.4">
      <c r="A35" s="1">
        <v>39</v>
      </c>
      <c r="B35" s="2">
        <v>35</v>
      </c>
      <c r="C35" s="9" t="str">
        <f>VLOOKUP(AbasDimensao[[#This Row],[$DimensaoID]],ApenasDimensao[[$DimensaoID]:[Table]],2,FALSE)</f>
        <v>Desconto</v>
      </c>
      <c r="D35" s="4" t="s">
        <v>776</v>
      </c>
      <c r="E35" s="13" t="s">
        <v>477</v>
      </c>
      <c r="F35" s="3">
        <f>AbasDimensao[[#This Row],[$DimensaoID]]</f>
        <v>35</v>
      </c>
      <c r="G35" s="3">
        <f>AbasDimensao[[#This Row],[ $Ordem Visualizar Dimensão]]</f>
        <v>39</v>
      </c>
    </row>
    <row r="36" spans="1:7" ht="15" thickBot="1" x14ac:dyDescent="0.4">
      <c r="A36" s="3">
        <v>40</v>
      </c>
      <c r="B36" s="2">
        <v>36</v>
      </c>
      <c r="C36" s="9" t="str">
        <f>VLOOKUP(AbasDimensao[[#This Row],[$DimensaoID]],ApenasDimensao[[$DimensaoID]:[Table]],2,FALSE)</f>
        <v>GERENTE_CATEGORIA</v>
      </c>
      <c r="D36" s="4" t="s">
        <v>776</v>
      </c>
      <c r="E36" s="13" t="s">
        <v>477</v>
      </c>
      <c r="F36" s="3">
        <f>AbasDimensao[[#This Row],[$DimensaoID]]</f>
        <v>36</v>
      </c>
      <c r="G36" s="3">
        <f>AbasDimensao[[#This Row],[ $Ordem Visualizar Dimensão]]</f>
        <v>40</v>
      </c>
    </row>
    <row r="37" spans="1:7" ht="15" thickBot="1" x14ac:dyDescent="0.4">
      <c r="A37" s="1">
        <v>41</v>
      </c>
      <c r="B37" s="2">
        <v>37</v>
      </c>
      <c r="C37" s="9" t="str">
        <f>VLOOKUP(AbasDimensao[[#This Row],[$DimensaoID]],ApenasDimensao[[$DimensaoID]:[Table]],2,FALSE)</f>
        <v>GERENTE_COMPRAS</v>
      </c>
      <c r="D37" s="4" t="s">
        <v>776</v>
      </c>
      <c r="E37" s="13" t="s">
        <v>477</v>
      </c>
      <c r="F37" s="3">
        <f>AbasDimensao[[#This Row],[$DimensaoID]]</f>
        <v>37</v>
      </c>
      <c r="G37" s="3">
        <f>AbasDimensao[[#This Row],[ $Ordem Visualizar Dimensão]]</f>
        <v>41</v>
      </c>
    </row>
    <row r="38" spans="1:7" ht="15" thickBot="1" x14ac:dyDescent="0.4">
      <c r="A38" s="3">
        <v>42</v>
      </c>
      <c r="B38" s="2">
        <v>38</v>
      </c>
      <c r="C38" s="9" t="str">
        <f>VLOOKUP(AbasDimensao[[#This Row],[$DimensaoID]],ApenasDimensao[[$DimensaoID]:[Table]],2,FALSE)</f>
        <v>ID_LEADTIME</v>
      </c>
      <c r="D38" s="4" t="s">
        <v>776</v>
      </c>
      <c r="E38" s="13" t="s">
        <v>477</v>
      </c>
      <c r="F38" s="3">
        <f>AbasDimensao[[#This Row],[$DimensaoID]]</f>
        <v>38</v>
      </c>
      <c r="G38" s="3">
        <f>AbasDimensao[[#This Row],[ $Ordem Visualizar Dimensão]]</f>
        <v>42</v>
      </c>
    </row>
    <row r="39" spans="1:7" ht="15" thickBot="1" x14ac:dyDescent="0.4">
      <c r="A39" s="1">
        <v>43</v>
      </c>
      <c r="B39" s="2">
        <v>39</v>
      </c>
      <c r="C39" s="9" t="str">
        <f>VLOOKUP(AbasDimensao[[#This Row],[$DimensaoID]],ApenasDimensao[[$DimensaoID]:[Table]],2,FALSE)</f>
        <v>IDENT_FORNECEDOR</v>
      </c>
      <c r="D39" s="4" t="s">
        <v>776</v>
      </c>
      <c r="E39" s="13" t="s">
        <v>477</v>
      </c>
      <c r="F39" s="3">
        <f>AbasDimensao[[#This Row],[$DimensaoID]]</f>
        <v>39</v>
      </c>
      <c r="G39" s="3">
        <f>AbasDimensao[[#This Row],[ $Ordem Visualizar Dimensão]]</f>
        <v>43</v>
      </c>
    </row>
    <row r="40" spans="1:7" ht="15" thickBot="1" x14ac:dyDescent="0.4">
      <c r="A40" s="3">
        <v>44</v>
      </c>
      <c r="B40" s="2">
        <v>40</v>
      </c>
      <c r="C40" s="9" t="str">
        <f>VLOOKUP(AbasDimensao[[#This Row],[$DimensaoID]],ApenasDimensao[[$DimensaoID]:[Table]],2,FALSE)</f>
        <v>Key Cod Mat CD</v>
      </c>
      <c r="D40" s="4" t="s">
        <v>776</v>
      </c>
      <c r="E40" s="13" t="s">
        <v>477</v>
      </c>
      <c r="F40" s="3">
        <f>AbasDimensao[[#This Row],[$DimensaoID]]</f>
        <v>40</v>
      </c>
      <c r="G40" s="3">
        <f>AbasDimensao[[#This Row],[ $Ordem Visualizar Dimensão]]</f>
        <v>44</v>
      </c>
    </row>
    <row r="41" spans="1:7" ht="15" thickBot="1" x14ac:dyDescent="0.4">
      <c r="A41" s="1">
        <v>45</v>
      </c>
      <c r="B41" s="2">
        <v>43</v>
      </c>
      <c r="C41" s="9" t="str">
        <f>VLOOKUP(AbasDimensao[[#This Row],[$DimensaoID]],ApenasDimensao[[$DimensaoID]:[Table]],2,FALSE)</f>
        <v>Key_COMPRADOR</v>
      </c>
      <c r="D41" s="4" t="s">
        <v>776</v>
      </c>
      <c r="E41" s="13" t="s">
        <v>477</v>
      </c>
      <c r="F41" s="3">
        <f>AbasDimensao[[#This Row],[$DimensaoID]]</f>
        <v>43</v>
      </c>
      <c r="G41" s="3">
        <f>AbasDimensao[[#This Row],[ $Ordem Visualizar Dimensão]]</f>
        <v>45</v>
      </c>
    </row>
    <row r="42" spans="1:7" ht="15" thickBot="1" x14ac:dyDescent="0.4">
      <c r="A42" s="3">
        <v>46</v>
      </c>
      <c r="B42" s="2">
        <v>44</v>
      </c>
      <c r="C42" s="9" t="str">
        <f>VLOOKUP(AbasDimensao[[#This Row],[$DimensaoID]],ApenasDimensao[[$DimensaoID]:[Table]],2,FALSE)</f>
        <v>MAPA_VLR_ESTOQUELIVRE</v>
      </c>
      <c r="D42" s="4" t="s">
        <v>776</v>
      </c>
      <c r="E42" s="13" t="s">
        <v>477</v>
      </c>
      <c r="F42" s="3">
        <f>AbasDimensao[[#This Row],[$DimensaoID]]</f>
        <v>44</v>
      </c>
      <c r="G42" s="3">
        <f>AbasDimensao[[#This Row],[ $Ordem Visualizar Dimensão]]</f>
        <v>46</v>
      </c>
    </row>
    <row r="43" spans="1:7" ht="15" thickBot="1" x14ac:dyDescent="0.4">
      <c r="A43" s="1">
        <v>47</v>
      </c>
      <c r="B43" s="2">
        <v>45</v>
      </c>
      <c r="C43" s="9" t="str">
        <f>VLOOKUP(AbasDimensao[[#This Row],[$DimensaoID]],ApenasDimensao[[$DimensaoID]:[Table]],2,FALSE)</f>
        <v>MAPA_VLR_ESTOQUETOTAL</v>
      </c>
      <c r="D43" s="4" t="s">
        <v>776</v>
      </c>
      <c r="E43" s="13" t="s">
        <v>477</v>
      </c>
      <c r="F43" s="3">
        <f>AbasDimensao[[#This Row],[$DimensaoID]]</f>
        <v>45</v>
      </c>
      <c r="G43" s="3">
        <f>AbasDimensao[[#This Row],[ $Ordem Visualizar Dimensão]]</f>
        <v>47</v>
      </c>
    </row>
    <row r="44" spans="1:7" ht="15" thickBot="1" x14ac:dyDescent="0.4">
      <c r="A44" s="3">
        <v>48</v>
      </c>
      <c r="B44" s="2">
        <v>46</v>
      </c>
      <c r="C44" s="9" t="str">
        <f>VLOOKUP(AbasDimensao[[#This Row],[$DimensaoID]],ApenasDimensao[[$DimensaoID]:[Table]],2,FALSE)</f>
        <v>MAPA_VLR_MEDIAPOND</v>
      </c>
      <c r="D44" s="4" t="s">
        <v>776</v>
      </c>
      <c r="E44" s="13" t="s">
        <v>477</v>
      </c>
      <c r="F44" s="3">
        <f>AbasDimensao[[#This Row],[$DimensaoID]]</f>
        <v>46</v>
      </c>
      <c r="G44" s="3">
        <f>AbasDimensao[[#This Row],[ $Ordem Visualizar Dimensão]]</f>
        <v>48</v>
      </c>
    </row>
    <row r="45" spans="1:7" ht="15" thickBot="1" x14ac:dyDescent="0.4">
      <c r="A45" s="1">
        <v>49</v>
      </c>
      <c r="B45" s="2">
        <v>47</v>
      </c>
      <c r="C45" s="9" t="str">
        <f>VLOOKUP(AbasDimensao[[#This Row],[$DimensaoID]],ApenasDimensao[[$DimensaoID]:[Table]],2,FALSE)</f>
        <v>Month_db</v>
      </c>
      <c r="D45" s="4" t="s">
        <v>776</v>
      </c>
      <c r="E45" s="13" t="s">
        <v>477</v>
      </c>
      <c r="F45" s="3">
        <f>AbasDimensao[[#This Row],[$DimensaoID]]</f>
        <v>47</v>
      </c>
      <c r="G45" s="3">
        <f>AbasDimensao[[#This Row],[ $Ordem Visualizar Dimensão]]</f>
        <v>49</v>
      </c>
    </row>
    <row r="46" spans="1:7" ht="15" thickBot="1" x14ac:dyDescent="0.4">
      <c r="A46" s="3">
        <v>50</v>
      </c>
      <c r="B46" s="2">
        <v>48</v>
      </c>
      <c r="C46" s="9" t="str">
        <f>VLOOKUP(AbasDimensao[[#This Row],[$DimensaoID]],ApenasDimensao[[$DimensaoID]:[Table]],2,FALSE)</f>
        <v>Month_Number_db</v>
      </c>
      <c r="D46" s="4" t="s">
        <v>776</v>
      </c>
      <c r="E46" s="13" t="s">
        <v>477</v>
      </c>
      <c r="F46" s="3">
        <f>AbasDimensao[[#This Row],[$DimensaoID]]</f>
        <v>48</v>
      </c>
      <c r="G46" s="3">
        <f>AbasDimensao[[#This Row],[ $Ordem Visualizar Dimensão]]</f>
        <v>50</v>
      </c>
    </row>
    <row r="47" spans="1:7" ht="15" thickBot="1" x14ac:dyDescent="0.4">
      <c r="A47" s="1">
        <v>51</v>
      </c>
      <c r="B47" s="2">
        <v>49</v>
      </c>
      <c r="C47" s="9" t="str">
        <f>VLOOKUP(AbasDimensao[[#This Row],[$DimensaoID]],ApenasDimensao[[$DimensaoID]:[Table]],2,FALSE)</f>
        <v>MonthName_db</v>
      </c>
      <c r="D47" s="4" t="s">
        <v>776</v>
      </c>
      <c r="E47" s="13" t="s">
        <v>477</v>
      </c>
      <c r="F47" s="3">
        <f>AbasDimensao[[#This Row],[$DimensaoID]]</f>
        <v>49</v>
      </c>
      <c r="G47" s="3">
        <f>AbasDimensao[[#This Row],[ $Ordem Visualizar Dimensão]]</f>
        <v>51</v>
      </c>
    </row>
    <row r="48" spans="1:7" ht="15" thickBot="1" x14ac:dyDescent="0.4">
      <c r="A48" s="3">
        <v>52</v>
      </c>
      <c r="B48" s="2">
        <v>50</v>
      </c>
      <c r="C48" s="9" t="str">
        <f>VLOOKUP(AbasDimensao[[#This Row],[$DimensaoID]],ApenasDimensao[[$DimensaoID]:[Table]],2,FALSE)</f>
        <v>NME_MATERIAL</v>
      </c>
      <c r="D48" s="4" t="s">
        <v>776</v>
      </c>
      <c r="E48" s="13" t="s">
        <v>477</v>
      </c>
      <c r="F48" s="3">
        <f>AbasDimensao[[#This Row],[$DimensaoID]]</f>
        <v>50</v>
      </c>
      <c r="G48" s="3">
        <f>AbasDimensao[[#This Row],[ $Ordem Visualizar Dimensão]]</f>
        <v>52</v>
      </c>
    </row>
    <row r="49" spans="1:7" ht="15" thickBot="1" x14ac:dyDescent="0.4">
      <c r="A49" s="1">
        <v>53</v>
      </c>
      <c r="B49" s="2">
        <v>51</v>
      </c>
      <c r="C49" s="9" t="str">
        <f>VLOOKUP(AbasDimensao[[#This Row],[$DimensaoID]],ApenasDimensao[[$DimensaoID]:[Table]],2,FALSE)</f>
        <v>NomeEmpresa</v>
      </c>
      <c r="D49" s="4" t="s">
        <v>776</v>
      </c>
      <c r="E49" s="13" t="s">
        <v>477</v>
      </c>
      <c r="F49" s="3">
        <f>AbasDimensao[[#This Row],[$DimensaoID]]</f>
        <v>51</v>
      </c>
      <c r="G49" s="3">
        <f>AbasDimensao[[#This Row],[ $Ordem Visualizar Dimensão]]</f>
        <v>53</v>
      </c>
    </row>
    <row r="50" spans="1:7" ht="15" thickBot="1" x14ac:dyDescent="0.4">
      <c r="A50" s="3">
        <v>54</v>
      </c>
      <c r="B50" s="2">
        <v>52</v>
      </c>
      <c r="C50" s="9" t="str">
        <f>VLOOKUP(AbasDimensao[[#This Row],[$DimensaoID]],ApenasDimensao[[$DimensaoID]:[Table]],2,FALSE)</f>
        <v>Pacote</v>
      </c>
      <c r="D50" s="4" t="s">
        <v>776</v>
      </c>
      <c r="E50" s="13" t="s">
        <v>477</v>
      </c>
      <c r="F50" s="3">
        <f>AbasDimensao[[#This Row],[$DimensaoID]]</f>
        <v>52</v>
      </c>
      <c r="G50" s="3">
        <f>AbasDimensao[[#This Row],[ $Ordem Visualizar Dimensão]]</f>
        <v>54</v>
      </c>
    </row>
    <row r="51" spans="1:7" ht="15" thickBot="1" x14ac:dyDescent="0.4">
      <c r="A51" s="1">
        <v>55</v>
      </c>
      <c r="B51" s="2">
        <v>53</v>
      </c>
      <c r="C51" s="9" t="str">
        <f>VLOOKUP(AbasDimensao[[#This Row],[$DimensaoID]],ApenasDimensao[[$DimensaoID]:[Table]],2,FALSE)</f>
        <v>PC_FATOR_PONDERA</v>
      </c>
      <c r="D51" s="4" t="s">
        <v>776</v>
      </c>
      <c r="E51" s="13" t="s">
        <v>477</v>
      </c>
      <c r="F51" s="3">
        <f>AbasDimensao[[#This Row],[$DimensaoID]]</f>
        <v>53</v>
      </c>
      <c r="G51" s="3">
        <f>AbasDimensao[[#This Row],[ $Ordem Visualizar Dimensão]]</f>
        <v>55</v>
      </c>
    </row>
    <row r="52" spans="1:7" ht="15" thickBot="1" x14ac:dyDescent="0.4">
      <c r="A52" s="3">
        <v>56</v>
      </c>
      <c r="B52" s="2">
        <v>54</v>
      </c>
      <c r="C52" s="9" t="str">
        <f>VLOOKUP(AbasDimensao[[#This Row],[$DimensaoID]],ApenasDimensao[[$DimensaoID]:[Table]],2,FALSE)</f>
        <v>PC_VLR_PRZ_COMPRA_TOT</v>
      </c>
      <c r="D52" s="4" t="s">
        <v>776</v>
      </c>
      <c r="E52" s="13" t="s">
        <v>477</v>
      </c>
      <c r="F52" s="3">
        <f>AbasDimensao[[#This Row],[$DimensaoID]]</f>
        <v>54</v>
      </c>
      <c r="G52" s="3">
        <f>AbasDimensao[[#This Row],[ $Ordem Visualizar Dimensão]]</f>
        <v>56</v>
      </c>
    </row>
    <row r="53" spans="1:7" ht="15" thickBot="1" x14ac:dyDescent="0.4">
      <c r="A53" s="1">
        <v>57</v>
      </c>
      <c r="B53" s="2">
        <v>55</v>
      </c>
      <c r="C53" s="9" t="str">
        <f>VLOOKUP(AbasDimensao[[#This Row],[$DimensaoID]],ApenasDimensao[[$DimensaoID]:[Table]],2,FALSE)</f>
        <v>Pond. Fat ate Entrega</v>
      </c>
      <c r="D53" s="4" t="s">
        <v>776</v>
      </c>
      <c r="E53" s="13" t="s">
        <v>477</v>
      </c>
      <c r="F53" s="3">
        <f>AbasDimensao[[#This Row],[$DimensaoID]]</f>
        <v>55</v>
      </c>
      <c r="G53" s="3">
        <f>AbasDimensao[[#This Row],[ $Ordem Visualizar Dimensão]]</f>
        <v>57</v>
      </c>
    </row>
    <row r="54" spans="1:7" ht="15" thickBot="1" x14ac:dyDescent="0.4">
      <c r="A54" s="3">
        <v>58</v>
      </c>
      <c r="B54" s="2">
        <v>56</v>
      </c>
      <c r="C54" s="9" t="str">
        <f>VLOOKUP(AbasDimensao[[#This Row],[$DimensaoID]],ApenasDimensao[[$DimensaoID]:[Table]],2,FALSE)</f>
        <v>Pond. Interno</v>
      </c>
      <c r="D54" s="4" t="s">
        <v>776</v>
      </c>
      <c r="E54" s="13" t="s">
        <v>477</v>
      </c>
      <c r="F54" s="3">
        <f>AbasDimensao[[#This Row],[$DimensaoID]]</f>
        <v>56</v>
      </c>
      <c r="G54" s="3">
        <f>AbasDimensao[[#This Row],[ $Ordem Visualizar Dimensão]]</f>
        <v>58</v>
      </c>
    </row>
    <row r="55" spans="1:7" ht="15" thickBot="1" x14ac:dyDescent="0.4">
      <c r="A55" s="1">
        <v>59</v>
      </c>
      <c r="B55" s="2">
        <v>57</v>
      </c>
      <c r="C55" s="9" t="str">
        <f>VLOOKUP(AbasDimensao[[#This Row],[$DimensaoID]],ApenasDimensao[[$DimensaoID]:[Table]],2,FALSE)</f>
        <v>Pond. Ped ate Fat</v>
      </c>
      <c r="D55" s="4" t="s">
        <v>776</v>
      </c>
      <c r="E55" s="13" t="s">
        <v>477</v>
      </c>
      <c r="F55" s="3">
        <f>AbasDimensao[[#This Row],[$DimensaoID]]</f>
        <v>57</v>
      </c>
      <c r="G55" s="3">
        <f>AbasDimensao[[#This Row],[ $Ordem Visualizar Dimensão]]</f>
        <v>59</v>
      </c>
    </row>
    <row r="56" spans="1:7" ht="15" thickBot="1" x14ac:dyDescent="0.4">
      <c r="A56" s="3">
        <v>60</v>
      </c>
      <c r="B56" s="2">
        <v>58</v>
      </c>
      <c r="C56" s="9" t="str">
        <f>VLOOKUP(AbasDimensao[[#This Row],[$DimensaoID]],ApenasDimensao[[$DimensaoID]:[Table]],2,FALSE)</f>
        <v>QTD</v>
      </c>
      <c r="D56" s="4" t="s">
        <v>776</v>
      </c>
      <c r="E56" s="13" t="s">
        <v>477</v>
      </c>
      <c r="F56" s="3">
        <f>AbasDimensao[[#This Row],[$DimensaoID]]</f>
        <v>58</v>
      </c>
      <c r="G56" s="3">
        <f>AbasDimensao[[#This Row],[ $Ordem Visualizar Dimensão]]</f>
        <v>60</v>
      </c>
    </row>
    <row r="57" spans="1:7" ht="15" thickBot="1" x14ac:dyDescent="0.4">
      <c r="A57" s="1">
        <v>61</v>
      </c>
      <c r="B57" s="2">
        <v>59</v>
      </c>
      <c r="C57" s="9" t="str">
        <f>VLOOKUP(AbasDimensao[[#This Row],[$DimensaoID]],ApenasDimensao[[$DimensaoID]:[Table]],2,FALSE)</f>
        <v>QTD_ESTOQUE</v>
      </c>
      <c r="D57" s="4" t="s">
        <v>776</v>
      </c>
      <c r="E57" s="13" t="s">
        <v>477</v>
      </c>
      <c r="F57" s="3">
        <f>AbasDimensao[[#This Row],[$DimensaoID]]</f>
        <v>59</v>
      </c>
      <c r="G57" s="3">
        <f>AbasDimensao[[#This Row],[ $Ordem Visualizar Dimensão]]</f>
        <v>61</v>
      </c>
    </row>
    <row r="58" spans="1:7" ht="15" thickBot="1" x14ac:dyDescent="0.4">
      <c r="A58" s="3">
        <v>62</v>
      </c>
      <c r="B58" s="2">
        <v>60</v>
      </c>
      <c r="C58" s="9" t="str">
        <f>VLOOKUP(AbasDimensao[[#This Row],[$DimensaoID]],ApenasDimensao[[$DimensaoID]:[Table]],2,FALSE)</f>
        <v>QTD_PROJETADO</v>
      </c>
      <c r="D58" s="4" t="s">
        <v>776</v>
      </c>
      <c r="E58" s="13" t="s">
        <v>477</v>
      </c>
      <c r="F58" s="3">
        <f>AbasDimensao[[#This Row],[$DimensaoID]]</f>
        <v>60</v>
      </c>
      <c r="G58" s="3">
        <f>AbasDimensao[[#This Row],[ $Ordem Visualizar Dimensão]]</f>
        <v>62</v>
      </c>
    </row>
    <row r="59" spans="1:7" ht="15" thickBot="1" x14ac:dyDescent="0.4">
      <c r="A59" s="1">
        <v>63</v>
      </c>
      <c r="B59" s="2">
        <v>61</v>
      </c>
      <c r="C59" s="9" t="str">
        <f>VLOOKUP(AbasDimensao[[#This Row],[$DimensaoID]],ApenasDimensao[[$DimensaoID]:[Table]],2,FALSE)</f>
        <v>Quarter_db</v>
      </c>
      <c r="D59" s="4" t="s">
        <v>776</v>
      </c>
      <c r="E59" s="13" t="s">
        <v>477</v>
      </c>
      <c r="F59" s="3">
        <f>AbasDimensao[[#This Row],[$DimensaoID]]</f>
        <v>61</v>
      </c>
      <c r="G59" s="3">
        <f>AbasDimensao[[#This Row],[ $Ordem Visualizar Dimensão]]</f>
        <v>63</v>
      </c>
    </row>
    <row r="60" spans="1:7" ht="15" thickBot="1" x14ac:dyDescent="0.4">
      <c r="A60" s="3">
        <v>64</v>
      </c>
      <c r="B60" s="2">
        <v>62</v>
      </c>
      <c r="C60" s="9" t="str">
        <f>VLOOKUP(AbasDimensao[[#This Row],[$DimensaoID]],ApenasDimensao[[$DimensaoID]:[Table]],2,FALSE)</f>
        <v>Semester_db</v>
      </c>
      <c r="D60" s="4" t="s">
        <v>776</v>
      </c>
      <c r="E60" s="13" t="s">
        <v>477</v>
      </c>
      <c r="F60" s="3">
        <f>AbasDimensao[[#This Row],[$DimensaoID]]</f>
        <v>62</v>
      </c>
      <c r="G60" s="3">
        <f>AbasDimensao[[#This Row],[ $Ordem Visualizar Dimensão]]</f>
        <v>64</v>
      </c>
    </row>
    <row r="61" spans="1:7" ht="15" thickBot="1" x14ac:dyDescent="0.4">
      <c r="A61" s="1">
        <v>65</v>
      </c>
      <c r="B61" s="2">
        <v>63</v>
      </c>
      <c r="C61" s="9" t="str">
        <f>VLOOKUP(AbasDimensao[[#This Row],[$DimensaoID]],ApenasDimensao[[$DimensaoID]:[Table]],2,FALSE)</f>
        <v>TIPO_OPERACAO_VENDAS</v>
      </c>
      <c r="D61" s="4" t="s">
        <v>776</v>
      </c>
      <c r="E61" s="13" t="s">
        <v>477</v>
      </c>
      <c r="F61" s="3">
        <f>AbasDimensao[[#This Row],[$DimensaoID]]</f>
        <v>63</v>
      </c>
      <c r="G61" s="3">
        <f>AbasDimensao[[#This Row],[ $Ordem Visualizar Dimensão]]</f>
        <v>65</v>
      </c>
    </row>
    <row r="62" spans="1:7" ht="15" thickBot="1" x14ac:dyDescent="0.4">
      <c r="A62" s="3">
        <v>66</v>
      </c>
      <c r="B62" s="2">
        <v>64</v>
      </c>
      <c r="C62" s="9" t="str">
        <f>VLOOKUP(AbasDimensao[[#This Row],[$DimensaoID]],ApenasDimensao[[$DimensaoID]:[Table]],2,FALSE)</f>
        <v>TIPOVENDA</v>
      </c>
      <c r="D62" s="4" t="s">
        <v>776</v>
      </c>
      <c r="E62" s="13" t="s">
        <v>477</v>
      </c>
      <c r="F62" s="3">
        <f>AbasDimensao[[#This Row],[$DimensaoID]]</f>
        <v>64</v>
      </c>
      <c r="G62" s="3">
        <f>AbasDimensao[[#This Row],[ $Ordem Visualizar Dimensão]]</f>
        <v>66</v>
      </c>
    </row>
    <row r="63" spans="1:7" ht="15" thickBot="1" x14ac:dyDescent="0.4">
      <c r="A63" s="1">
        <v>67</v>
      </c>
      <c r="B63" s="2">
        <v>65</v>
      </c>
      <c r="C63" s="9" t="str">
        <f>VLOOKUP(AbasDimensao[[#This Row],[$DimensaoID]],ApenasDimensao[[$DimensaoID]:[Table]],2,FALSE)</f>
        <v>TOTAL_CONTABIL_PV</v>
      </c>
      <c r="D63" s="4" t="s">
        <v>776</v>
      </c>
      <c r="E63" s="13" t="s">
        <v>477</v>
      </c>
      <c r="F63" s="3">
        <f>AbasDimensao[[#This Row],[$DimensaoID]]</f>
        <v>65</v>
      </c>
      <c r="G63" s="3">
        <f>AbasDimensao[[#This Row],[ $Ordem Visualizar Dimensão]]</f>
        <v>67</v>
      </c>
    </row>
    <row r="64" spans="1:7" ht="15" thickBot="1" x14ac:dyDescent="0.4">
      <c r="A64" s="3">
        <v>68</v>
      </c>
      <c r="B64" s="2">
        <v>66</v>
      </c>
      <c r="C64" s="9" t="str">
        <f>VLOOKUP(AbasDimensao[[#This Row],[$DimensaoID]],ApenasDimensao[[$DimensaoID]:[Table]],2,FALSE)</f>
        <v>TOTAL_PONDERADO_PV</v>
      </c>
      <c r="D64" s="4" t="s">
        <v>776</v>
      </c>
      <c r="E64" s="13" t="s">
        <v>477</v>
      </c>
      <c r="F64" s="3">
        <f>AbasDimensao[[#This Row],[$DimensaoID]]</f>
        <v>66</v>
      </c>
      <c r="G64" s="3">
        <f>AbasDimensao[[#This Row],[ $Ordem Visualizar Dimensão]]</f>
        <v>68</v>
      </c>
    </row>
    <row r="65" spans="1:7" ht="15" thickBot="1" x14ac:dyDescent="0.4">
      <c r="A65" s="1">
        <v>69</v>
      </c>
      <c r="B65" s="2">
        <v>67</v>
      </c>
      <c r="C65" s="9" t="str">
        <f>VLOOKUP(AbasDimensao[[#This Row],[$DimensaoID]],ApenasDimensao[[$DimensaoID]:[Table]],2,FALSE)</f>
        <v>ULT_COD_SCRUZ</v>
      </c>
      <c r="D65" s="4" t="s">
        <v>776</v>
      </c>
      <c r="E65" s="13" t="s">
        <v>477</v>
      </c>
      <c r="F65" s="3">
        <f>AbasDimensao[[#This Row],[$DimensaoID]]</f>
        <v>67</v>
      </c>
      <c r="G65" s="3">
        <f>AbasDimensao[[#This Row],[ $Ordem Visualizar Dimensão]]</f>
        <v>69</v>
      </c>
    </row>
    <row r="66" spans="1:7" ht="15" thickBot="1" x14ac:dyDescent="0.4">
      <c r="A66" s="3">
        <v>70</v>
      </c>
      <c r="B66" s="2">
        <v>68</v>
      </c>
      <c r="C66" s="9" t="str">
        <f>VLOOKUP(AbasDimensao[[#This Row],[$DimensaoID]],ApenasDimensao[[$DimensaoID]:[Table]],2,FALSE)</f>
        <v>Valor Liq. NF BRL</v>
      </c>
      <c r="D66" s="4" t="s">
        <v>776</v>
      </c>
      <c r="E66" s="13" t="s">
        <v>477</v>
      </c>
      <c r="F66" s="3">
        <f>AbasDimensao[[#This Row],[$DimensaoID]]</f>
        <v>68</v>
      </c>
      <c r="G66" s="3">
        <f>AbasDimensao[[#This Row],[ $Ordem Visualizar Dimensão]]</f>
        <v>70</v>
      </c>
    </row>
    <row r="67" spans="1:7" ht="15" thickBot="1" x14ac:dyDescent="0.4">
      <c r="A67" s="1">
        <v>71</v>
      </c>
      <c r="B67" s="2">
        <v>69</v>
      </c>
      <c r="C67" s="9" t="str">
        <f>VLOOKUP(AbasDimensao[[#This Row],[$DimensaoID]],ApenasDimensao[[$DimensaoID]:[Table]],2,FALSE)</f>
        <v>Valor Liq. NF BRL Interno</v>
      </c>
      <c r="D67" s="4" t="s">
        <v>776</v>
      </c>
      <c r="E67" s="13" t="s">
        <v>477</v>
      </c>
      <c r="F67" s="3">
        <f>AbasDimensao[[#This Row],[$DimensaoID]]</f>
        <v>69</v>
      </c>
      <c r="G67" s="3">
        <f>AbasDimensao[[#This Row],[ $Ordem Visualizar Dimensão]]</f>
        <v>71</v>
      </c>
    </row>
    <row r="68" spans="1:7" ht="15" thickBot="1" x14ac:dyDescent="0.4">
      <c r="A68" s="3">
        <v>72</v>
      </c>
      <c r="B68" s="2">
        <v>70</v>
      </c>
      <c r="C68" s="9" t="str">
        <f>VLOOKUP(AbasDimensao[[#This Row],[$DimensaoID]],ApenasDimensao[[$DimensaoID]:[Table]],2,FALSE)</f>
        <v>VB</v>
      </c>
      <c r="D68" s="4" t="s">
        <v>776</v>
      </c>
      <c r="E68" s="13" t="s">
        <v>477</v>
      </c>
      <c r="F68" s="3">
        <f>AbasDimensao[[#This Row],[$DimensaoID]]</f>
        <v>70</v>
      </c>
      <c r="G68" s="3">
        <f>AbasDimensao[[#This Row],[ $Ordem Visualizar Dimensão]]</f>
        <v>72</v>
      </c>
    </row>
    <row r="69" spans="1:7" ht="15" thickBot="1" x14ac:dyDescent="0.4">
      <c r="A69" s="1">
        <v>73</v>
      </c>
      <c r="B69" s="2">
        <v>71</v>
      </c>
      <c r="C69" s="9" t="str">
        <f>VLOOKUP(AbasDimensao[[#This Row],[$DimensaoID]],ApenasDimensao[[$DimensaoID]:[Table]],2,FALSE)</f>
        <v>VB_DEVOL</v>
      </c>
      <c r="D69" s="4" t="s">
        <v>776</v>
      </c>
      <c r="E69" s="13" t="s">
        <v>477</v>
      </c>
      <c r="F69" s="3">
        <f>AbasDimensao[[#This Row],[$DimensaoID]]</f>
        <v>71</v>
      </c>
      <c r="G69" s="3">
        <f>AbasDimensao[[#This Row],[ $Ordem Visualizar Dimensão]]</f>
        <v>73</v>
      </c>
    </row>
    <row r="70" spans="1:7" ht="15" thickBot="1" x14ac:dyDescent="0.4">
      <c r="A70" s="3">
        <v>74</v>
      </c>
      <c r="B70" s="2">
        <v>72</v>
      </c>
      <c r="C70" s="9" t="str">
        <f>VLOOKUP(AbasDimensao[[#This Row],[$DimensaoID]],ApenasDimensao[[$DimensaoID]:[Table]],2,FALSE)</f>
        <v>VB_PROJETADO</v>
      </c>
      <c r="D70" s="4" t="s">
        <v>776</v>
      </c>
      <c r="E70" s="13" t="s">
        <v>477</v>
      </c>
      <c r="F70" s="3">
        <f>AbasDimensao[[#This Row],[$DimensaoID]]</f>
        <v>72</v>
      </c>
      <c r="G70" s="3">
        <f>AbasDimensao[[#This Row],[ $Ordem Visualizar Dimensão]]</f>
        <v>74</v>
      </c>
    </row>
    <row r="71" spans="1:7" ht="15" thickBot="1" x14ac:dyDescent="0.4">
      <c r="A71" s="1">
        <v>75</v>
      </c>
      <c r="B71" s="2">
        <v>73</v>
      </c>
      <c r="C71" s="9" t="str">
        <f>VLOOKUP(AbasDimensao[[#This Row],[$DimensaoID]],ApenasDimensao[[$DimensaoID]:[Table]],2,FALSE)</f>
        <v>VLR_COM_REBATE</v>
      </c>
      <c r="D71" s="4" t="s">
        <v>776</v>
      </c>
      <c r="E71" s="13" t="s">
        <v>477</v>
      </c>
      <c r="F71" s="3">
        <f>AbasDimensao[[#This Row],[$DimensaoID]]</f>
        <v>73</v>
      </c>
      <c r="G71" s="3">
        <f>AbasDimensao[[#This Row],[ $Ordem Visualizar Dimensão]]</f>
        <v>75</v>
      </c>
    </row>
    <row r="72" spans="1:7" ht="15" thickBot="1" x14ac:dyDescent="0.4">
      <c r="A72" s="3">
        <v>76</v>
      </c>
      <c r="B72" s="2">
        <v>74</v>
      </c>
      <c r="C72" s="9" t="str">
        <f>VLOOKUP(AbasDimensao[[#This Row],[$DimensaoID]],ApenasDimensao[[$DimensaoID]:[Table]],2,FALSE)</f>
        <v>VLR_ESTOQUE_PF</v>
      </c>
      <c r="D72" s="4" t="s">
        <v>776</v>
      </c>
      <c r="E72" s="13" t="s">
        <v>477</v>
      </c>
      <c r="F72" s="3">
        <f>AbasDimensao[[#This Row],[$DimensaoID]]</f>
        <v>74</v>
      </c>
      <c r="G72" s="3">
        <f>AbasDimensao[[#This Row],[ $Ordem Visualizar Dimensão]]</f>
        <v>76</v>
      </c>
    </row>
    <row r="73" spans="1:7" ht="15" thickBot="1" x14ac:dyDescent="0.4">
      <c r="A73" s="1">
        <v>77</v>
      </c>
      <c r="B73" s="2">
        <v>75</v>
      </c>
      <c r="C73" s="9" t="str">
        <f>VLOOKUP(AbasDimensao[[#This Row],[$DimensaoID]],ApenasDimensao[[$DimensaoID]:[Table]],2,FALSE)</f>
        <v>VLR_VPF_3MESES</v>
      </c>
      <c r="D73" s="4" t="s">
        <v>776</v>
      </c>
      <c r="E73" s="13" t="s">
        <v>477</v>
      </c>
      <c r="F73" s="3">
        <f>AbasDimensao[[#This Row],[$DimensaoID]]</f>
        <v>75</v>
      </c>
      <c r="G73" s="3">
        <f>AbasDimensao[[#This Row],[ $Ordem Visualizar Dimensão]]</f>
        <v>77</v>
      </c>
    </row>
    <row r="74" spans="1:7" ht="15" thickBot="1" x14ac:dyDescent="0.4">
      <c r="A74" s="3">
        <v>78</v>
      </c>
      <c r="B74" s="2">
        <v>76</v>
      </c>
      <c r="C74" s="9" t="str">
        <f>VLOOKUP(AbasDimensao[[#This Row],[$DimensaoID]],ApenasDimensao[[$DimensaoID]:[Table]],2,FALSE)</f>
        <v>VLR_VPF_ESTOQUE_LIVRE</v>
      </c>
      <c r="D74" s="4" t="s">
        <v>776</v>
      </c>
      <c r="E74" s="13" t="s">
        <v>477</v>
      </c>
      <c r="F74" s="3">
        <f>AbasDimensao[[#This Row],[$DimensaoID]]</f>
        <v>76</v>
      </c>
      <c r="G74" s="3">
        <f>AbasDimensao[[#This Row],[ $Ordem Visualizar Dimensão]]</f>
        <v>78</v>
      </c>
    </row>
    <row r="75" spans="1:7" ht="15" thickBot="1" x14ac:dyDescent="0.4">
      <c r="A75" s="1">
        <v>79</v>
      </c>
      <c r="B75" s="2">
        <v>77</v>
      </c>
      <c r="C75" s="9" t="str">
        <f>VLOOKUP(AbasDimensao[[#This Row],[$DimensaoID]],ApenasDimensao[[$DimensaoID]:[Table]],2,FALSE)</f>
        <v>VLR_VPF_PROJETADA</v>
      </c>
      <c r="D75" s="4" t="s">
        <v>776</v>
      </c>
      <c r="E75" s="13" t="s">
        <v>477</v>
      </c>
      <c r="F75" s="3">
        <f>AbasDimensao[[#This Row],[$DimensaoID]]</f>
        <v>77</v>
      </c>
      <c r="G75" s="3">
        <f>AbasDimensao[[#This Row],[ $Ordem Visualizar Dimensão]]</f>
        <v>79</v>
      </c>
    </row>
    <row r="76" spans="1:7" ht="15" thickBot="1" x14ac:dyDescent="0.4">
      <c r="A76" s="3">
        <v>80</v>
      </c>
      <c r="B76" s="2">
        <v>78</v>
      </c>
      <c r="C76" s="9" t="str">
        <f>VLOOKUP(AbasDimensao[[#This Row],[$DimensaoID]],ApenasDimensao[[$DimensaoID]:[Table]],2,FALSE)</f>
        <v>VPF</v>
      </c>
      <c r="D76" s="4" t="s">
        <v>776</v>
      </c>
      <c r="E76" s="13" t="s">
        <v>477</v>
      </c>
      <c r="F76" s="3">
        <f>AbasDimensao[[#This Row],[$DimensaoID]]</f>
        <v>78</v>
      </c>
      <c r="G76" s="3">
        <f>AbasDimensao[[#This Row],[ $Ordem Visualizar Dimensão]]</f>
        <v>80</v>
      </c>
    </row>
    <row r="77" spans="1:7" ht="15" thickBot="1" x14ac:dyDescent="0.4">
      <c r="A77" s="1">
        <v>81</v>
      </c>
      <c r="B77" s="2">
        <v>79</v>
      </c>
      <c r="C77" s="9" t="str">
        <f>VLOOKUP(AbasDimensao[[#This Row],[$DimensaoID]],ApenasDimensao[[$DimensaoID]:[Table]],2,FALSE)</f>
        <v>VPF_PROJETADO</v>
      </c>
      <c r="D77" s="4" t="s">
        <v>776</v>
      </c>
      <c r="E77" s="13" t="s">
        <v>477</v>
      </c>
      <c r="F77" s="3">
        <f>AbasDimensao[[#This Row],[$DimensaoID]]</f>
        <v>79</v>
      </c>
      <c r="G77" s="3">
        <f>AbasDimensao[[#This Row],[ $Ordem Visualizar Dimensão]]</f>
        <v>81</v>
      </c>
    </row>
    <row r="78" spans="1:7" ht="15" thickBot="1" x14ac:dyDescent="0.4">
      <c r="A78" s="3">
        <v>82</v>
      </c>
      <c r="B78" s="2">
        <v>80</v>
      </c>
      <c r="C78" s="9" t="str">
        <f>VLOOKUP(AbasDimensao[[#This Row],[$DimensaoID]],ApenasDimensao[[$DimensaoID]:[Table]],2,FALSE)</f>
        <v>Week_db</v>
      </c>
      <c r="D78" s="4" t="s">
        <v>776</v>
      </c>
      <c r="E78" s="13" t="s">
        <v>477</v>
      </c>
      <c r="F78" s="3">
        <f>AbasDimensao[[#This Row],[$DimensaoID]]</f>
        <v>80</v>
      </c>
      <c r="G78" s="3">
        <f>AbasDimensao[[#This Row],[ $Ordem Visualizar Dimensão]]</f>
        <v>82</v>
      </c>
    </row>
    <row r="79" spans="1:7" ht="15" thickBot="1" x14ac:dyDescent="0.4">
      <c r="A79" s="1">
        <v>83</v>
      </c>
      <c r="B79" s="2">
        <v>81</v>
      </c>
      <c r="C79" s="9" t="str">
        <f>VLOOKUP(AbasDimensao[[#This Row],[$DimensaoID]],ApenasDimensao[[$DimensaoID]:[Table]],2,FALSE)</f>
        <v>Week_of_Year_db</v>
      </c>
      <c r="D79" s="4" t="s">
        <v>776</v>
      </c>
      <c r="E79" s="13" t="s">
        <v>477</v>
      </c>
      <c r="F79" s="3">
        <f>AbasDimensao[[#This Row],[$DimensaoID]]</f>
        <v>81</v>
      </c>
      <c r="G79" s="3">
        <f>AbasDimensao[[#This Row],[ $Ordem Visualizar Dimensão]]</f>
        <v>83</v>
      </c>
    </row>
    <row r="80" spans="1:7" ht="15" thickBot="1" x14ac:dyDescent="0.4">
      <c r="A80" s="3">
        <v>84</v>
      </c>
      <c r="B80" s="2">
        <v>82</v>
      </c>
      <c r="C80" s="9" t="str">
        <f>VLOOKUP(AbasDimensao[[#This Row],[$DimensaoID]],ApenasDimensao[[$DimensaoID]:[Table]],2,FALSE)</f>
        <v>Year_db</v>
      </c>
      <c r="D80" s="4" t="s">
        <v>776</v>
      </c>
      <c r="E80" s="13" t="s">
        <v>477</v>
      </c>
      <c r="F80" s="3">
        <f>AbasDimensao[[#This Row],[$DimensaoID]]</f>
        <v>82</v>
      </c>
      <c r="G80" s="3">
        <f>AbasDimensao[[#This Row],[ $Ordem Visualizar Dimensão]]</f>
        <v>84</v>
      </c>
    </row>
  </sheetData>
  <conditionalFormatting sqref="A1:A1048576">
    <cfRule type="duplicateValues" dxfId="10" priority="13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zoomScale="90" zoomScaleNormal="90" workbookViewId="0">
      <selection activeCell="C11" sqref="C11:C17"/>
    </sheetView>
  </sheetViews>
  <sheetFormatPr defaultColWidth="43.453125" defaultRowHeight="14.5" x14ac:dyDescent="0.35"/>
  <cols>
    <col min="1" max="1" width="29.7265625" bestFit="1" customWidth="1"/>
    <col min="2" max="2" width="20.54296875" customWidth="1"/>
    <col min="3" max="3" width="56.7265625" customWidth="1"/>
    <col min="4" max="4" width="24.7265625" bestFit="1" customWidth="1"/>
  </cols>
  <sheetData>
    <row r="1" spans="1:5" ht="15" thickBot="1" x14ac:dyDescent="0.4">
      <c r="A1" t="s">
        <v>96</v>
      </c>
      <c r="B1" t="s">
        <v>480</v>
      </c>
      <c r="C1" t="s">
        <v>94</v>
      </c>
      <c r="D1" t="s">
        <v>95</v>
      </c>
      <c r="E1" t="s">
        <v>495</v>
      </c>
    </row>
    <row r="2" spans="1:5" ht="15" thickBot="1" x14ac:dyDescent="0.4">
      <c r="A2" s="3">
        <v>10590</v>
      </c>
      <c r="B2" s="2">
        <v>82</v>
      </c>
      <c r="C2" s="31" t="str">
        <f>VLOOKUP(ConfigDimensao[[#This Row],[$DimensaoID]],ApenasDimensao[[#All],[$DimensaoID]:[Table]],3,FALSE)</f>
        <v>Year_db</v>
      </c>
      <c r="D2" s="4" t="s">
        <v>774</v>
      </c>
      <c r="E2" s="3" t="str">
        <f>ConfigDimensao[[#This Row],[$DimensaoID]]&amp;ConfigDimensao[[#This Row],[ Grupo de Dimensão]]</f>
        <v>82Calculo - Ano</v>
      </c>
    </row>
    <row r="3" spans="1:5" ht="15" thickBot="1" x14ac:dyDescent="0.4">
      <c r="A3" s="2">
        <v>8500</v>
      </c>
      <c r="B3" s="2">
        <v>24</v>
      </c>
      <c r="C3" s="31" t="str">
        <f>VLOOKUP(ConfigDimensao[[#This Row],[$DimensaoID]],ApenasDimensao[[#All],[$DimensaoID]:[Table]],3,FALSE)</f>
        <v>COD_MATERIAL_SAP</v>
      </c>
      <c r="D3" s="4" t="s">
        <v>291</v>
      </c>
      <c r="E3" t="str">
        <f>ConfigDimensao[[#This Row],[$DimensaoID]]&amp;ConfigDimensao[[#This Row],[ Grupo de Dimensão]]</f>
        <v>24Calculo - contar</v>
      </c>
    </row>
    <row r="4" spans="1:5" ht="15" thickBot="1" x14ac:dyDescent="0.4">
      <c r="A4" s="3">
        <v>5501</v>
      </c>
      <c r="B4" s="3">
        <v>21</v>
      </c>
      <c r="C4" s="31" t="str">
        <f>VLOOKUP(ConfigDimensao[[#This Row],[$DimensaoID]],ApenasDimensao[[#All],[$DimensaoID]:[Table]],3,FALSE)</f>
        <v>COD_BAND_GMR</v>
      </c>
      <c r="D4" s="4" t="s">
        <v>296</v>
      </c>
      <c r="E4" t="str">
        <f>ConfigDimensao[[#This Row],[$DimensaoID]]&amp;ConfigDimensao[[#This Row],[ Grupo de Dimensão]]</f>
        <v>21Calculo - Filtro</v>
      </c>
    </row>
    <row r="5" spans="1:5" ht="15" thickBot="1" x14ac:dyDescent="0.4">
      <c r="A5" s="3">
        <v>5502</v>
      </c>
      <c r="B5" s="3">
        <v>25</v>
      </c>
      <c r="C5" s="31" t="str">
        <f>VLOOKUP(ConfigDimensao[[#This Row],[$DimensaoID]],ApenasDimensao[[#All],[$DimensaoID]:[Table]],3,FALSE)</f>
        <v>COMPRADOR</v>
      </c>
      <c r="D5" s="5" t="s">
        <v>296</v>
      </c>
      <c r="E5" s="57" t="str">
        <f>ConfigDimensao[[#This Row],[$DimensaoID]]&amp;ConfigDimensao[[#This Row],[ Grupo de Dimensão]]</f>
        <v>25Calculo - Filtro</v>
      </c>
    </row>
    <row r="6" spans="1:5" ht="15" thickBot="1" x14ac:dyDescent="0.4">
      <c r="A6" s="3">
        <v>2501</v>
      </c>
      <c r="B6" s="30">
        <v>78</v>
      </c>
      <c r="C6" s="31" t="str">
        <f>VLOOKUP(ConfigDimensao[[#This Row],[$DimensaoID]],ApenasDimensao[[#All],[$DimensaoID]:[Table]],3,FALSE)</f>
        <v>VPF</v>
      </c>
      <c r="D6" s="5" t="s">
        <v>233</v>
      </c>
      <c r="E6" s="57" t="str">
        <f>ConfigDimensao[[#This Row],[$DimensaoID]]&amp;ConfigDimensao[[#This Row],[ Grupo de Dimensão]]</f>
        <v>78Calculo - media</v>
      </c>
    </row>
    <row r="7" spans="1:5" ht="15" thickBot="1" x14ac:dyDescent="0.4">
      <c r="A7" s="3">
        <v>2503</v>
      </c>
      <c r="B7" s="3">
        <v>70</v>
      </c>
      <c r="C7" s="31" t="str">
        <f>VLOOKUP(ConfigDimensao[[#This Row],[$DimensaoID]],ApenasDimensao[[#All],[$DimensaoID]:[Table]],3,FALSE)</f>
        <v>VB</v>
      </c>
      <c r="D7" s="5" t="s">
        <v>233</v>
      </c>
      <c r="E7" s="57" t="str">
        <f>ConfigDimensao[[#This Row],[$DimensaoID]]&amp;ConfigDimensao[[#This Row],[ Grupo de Dimensão]]</f>
        <v>70Calculo - media</v>
      </c>
    </row>
    <row r="8" spans="1:5" ht="15" thickBot="1" x14ac:dyDescent="0.4">
      <c r="A8" s="2">
        <v>6501</v>
      </c>
      <c r="B8" s="2">
        <v>82</v>
      </c>
      <c r="C8" s="31" t="str">
        <f>VLOOKUP(ConfigDimensao[[#This Row],[$DimensaoID]],ApenasDimensao[[#All],[$DimensaoID]:[Table]],3,FALSE)</f>
        <v>Year_db</v>
      </c>
      <c r="D8" s="5" t="s">
        <v>475</v>
      </c>
      <c r="E8" s="57" t="str">
        <f>ConfigDimensao[[#This Row],[$DimensaoID]]&amp;ConfigDimensao[[#This Row],[ Grupo de Dimensão]]</f>
        <v>82Calculo - Periodo</v>
      </c>
    </row>
    <row r="9" spans="1:5" ht="15" thickBot="1" x14ac:dyDescent="0.4">
      <c r="A9" s="3">
        <v>11590</v>
      </c>
      <c r="B9" s="2">
        <v>78</v>
      </c>
      <c r="C9" s="31" t="str">
        <f>VLOOKUP(ConfigDimensao[[#This Row],[$DimensaoID]],ApenasDimensao[[#All],[$DimensaoID]:[Table]],3,FALSE)</f>
        <v>VPF</v>
      </c>
      <c r="D9" s="5" t="s">
        <v>831</v>
      </c>
      <c r="E9" s="3" t="str">
        <f>ConfigDimensao[[#This Row],[$DimensaoID]]&amp;ConfigDimensao[[#This Row],[ Grupo de Dimensão]]</f>
        <v>78Calculo - Somar</v>
      </c>
    </row>
    <row r="10" spans="1:5" x14ac:dyDescent="0.35">
      <c r="A10" s="3">
        <v>11591</v>
      </c>
      <c r="B10" s="2">
        <v>70</v>
      </c>
      <c r="C10" s="31" t="str">
        <f>VLOOKUP(ConfigDimensao[[#This Row],[$DimensaoID]],ApenasDimensao[[#All],[$DimensaoID]:[Table]],3,FALSE)</f>
        <v>VB</v>
      </c>
      <c r="D10" s="5" t="s">
        <v>831</v>
      </c>
      <c r="E10" s="2" t="str">
        <f>ConfigDimensao[[#This Row],[$DimensaoID]]&amp;ConfigDimensao[[#This Row],[ Grupo de Dimensão]]</f>
        <v>70Calculo - Somar</v>
      </c>
    </row>
  </sheetData>
  <phoneticPr fontId="1" type="noConversion"/>
  <conditionalFormatting sqref="E11:E1048576 E1:E7">
    <cfRule type="duplicateValues" dxfId="9" priority="49"/>
  </conditionalFormatting>
  <conditionalFormatting sqref="E5">
    <cfRule type="duplicateValues" dxfId="8" priority="31"/>
  </conditionalFormatting>
  <conditionalFormatting sqref="E5">
    <cfRule type="duplicateValues" dxfId="7" priority="32"/>
  </conditionalFormatting>
  <conditionalFormatting sqref="E6">
    <cfRule type="duplicateValues" dxfId="6" priority="29"/>
  </conditionalFormatting>
  <conditionalFormatting sqref="E6">
    <cfRule type="duplicateValues" dxfId="5" priority="27"/>
  </conditionalFormatting>
  <conditionalFormatting sqref="E6">
    <cfRule type="duplicateValues" dxfId="4" priority="28"/>
  </conditionalFormatting>
  <conditionalFormatting sqref="E6">
    <cfRule type="duplicateValues" dxfId="3" priority="30"/>
  </conditionalFormatting>
  <conditionalFormatting sqref="E8">
    <cfRule type="duplicateValues" dxfId="2" priority="6"/>
  </conditionalFormatting>
  <conditionalFormatting sqref="E2:E7">
    <cfRule type="duplicateValues" dxfId="1" priority="28607"/>
  </conditionalFormatting>
  <conditionalFormatting sqref="E8:E10">
    <cfRule type="duplicateValues" dxfId="0" priority="28609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"/>
  <sheetViews>
    <sheetView topLeftCell="A62" workbookViewId="0">
      <selection activeCell="A2" sqref="A2:B83"/>
    </sheetView>
  </sheetViews>
  <sheetFormatPr defaultColWidth="37.7265625" defaultRowHeight="14.5" x14ac:dyDescent="0.35"/>
  <cols>
    <col min="1" max="1" width="66.81640625" customWidth="1"/>
    <col min="2" max="2" width="47.26953125" bestFit="1" customWidth="1"/>
  </cols>
  <sheetData>
    <row r="1" spans="1:3" ht="15" thickBot="1" x14ac:dyDescent="0.4">
      <c r="A1" s="6" t="s">
        <v>214</v>
      </c>
      <c r="B1" s="7" t="s">
        <v>215</v>
      </c>
      <c r="C1" s="8" t="s">
        <v>216</v>
      </c>
    </row>
    <row r="2" spans="1:3" x14ac:dyDescent="0.35">
      <c r="A2" t="s">
        <v>1158</v>
      </c>
      <c r="B2" t="s">
        <v>1159</v>
      </c>
      <c r="C2" s="2" t="str">
        <f>VLOOKUP(mergecampos[[#This Row],[$Field]],ApenasDimensao[[#All],[ Dimensão]:[Table]],1,FALSE)</f>
        <v>_C7Day_db</v>
      </c>
    </row>
    <row r="3" spans="1:3" x14ac:dyDescent="0.35">
      <c r="A3" t="s">
        <v>1160</v>
      </c>
      <c r="B3" t="s">
        <v>1159</v>
      </c>
      <c r="C3" s="2" t="str">
        <f>VLOOKUP(mergecampos[[#This Row],[$Field]],ApenasDimensao[[#All],[ Dimensão]:[Table]],1,FALSE)</f>
        <v>_C30Day_db</v>
      </c>
    </row>
    <row r="4" spans="1:3" x14ac:dyDescent="0.35">
      <c r="A4" t="s">
        <v>1161</v>
      </c>
      <c r="B4" t="s">
        <v>1159</v>
      </c>
      <c r="C4" s="2" t="str">
        <f>VLOOKUP(mergecampos[[#This Row],[$Field]],ApenasDimensao[[#All],[ Dimensão]:[Table]],1,FALSE)</f>
        <v>_CMath_db</v>
      </c>
    </row>
    <row r="5" spans="1:3" x14ac:dyDescent="0.35">
      <c r="A5" t="s">
        <v>1162</v>
      </c>
      <c r="B5" t="s">
        <v>1159</v>
      </c>
      <c r="C5" s="2" t="str">
        <f>VLOOKUP(mergecampos[[#This Row],[$Field]],ApenasDimensao[[#All],[ Dimensão]:[Table]],1,FALSE)</f>
        <v>_CMonth_db</v>
      </c>
    </row>
    <row r="6" spans="1:3" x14ac:dyDescent="0.35">
      <c r="A6" t="s">
        <v>1163</v>
      </c>
      <c r="B6" t="s">
        <v>1159</v>
      </c>
      <c r="C6" s="2" t="str">
        <f>VLOOKUP(mergecampos[[#This Row],[$Field]],ApenasDimensao[[#All],[ Dimensão]:[Table]],1,FALSE)</f>
        <v>_CSem_db</v>
      </c>
    </row>
    <row r="7" spans="1:3" x14ac:dyDescent="0.35">
      <c r="A7" t="s">
        <v>1164</v>
      </c>
      <c r="B7" t="s">
        <v>1159</v>
      </c>
      <c r="C7" s="2" t="str">
        <f>VLOOKUP(mergecampos[[#This Row],[$Field]],ApenasDimensao[[#All],[ Dimensão]:[Table]],1,FALSE)</f>
        <v>_CToday_db</v>
      </c>
    </row>
    <row r="8" spans="1:3" x14ac:dyDescent="0.35">
      <c r="A8" t="s">
        <v>1165</v>
      </c>
      <c r="B8" t="s">
        <v>1159</v>
      </c>
      <c r="C8" s="2" t="str">
        <f>VLOOKUP(mergecampos[[#This Row],[$Field]],ApenasDimensao[[#All],[ Dimensão]:[Table]],1,FALSE)</f>
        <v>_CTrim_db</v>
      </c>
    </row>
    <row r="9" spans="1:3" x14ac:dyDescent="0.35">
      <c r="A9" t="s">
        <v>1166</v>
      </c>
      <c r="B9" t="s">
        <v>1159</v>
      </c>
      <c r="C9" s="2" t="str">
        <f>VLOOKUP(mergecampos[[#This Row],[$Field]],ApenasDimensao[[#All],[ Dimensão]:[Table]],1,FALSE)</f>
        <v>_CY_db</v>
      </c>
    </row>
    <row r="10" spans="1:3" x14ac:dyDescent="0.35">
      <c r="A10" t="s">
        <v>1167</v>
      </c>
      <c r="B10" t="s">
        <v>1159</v>
      </c>
      <c r="C10" s="2" t="str">
        <f>VLOOKUP(mergecampos[[#This Row],[$Field]],ApenasDimensao[[#All],[ Dimensão]:[Table]],1,FALSE)</f>
        <v>_CYtd_db</v>
      </c>
    </row>
    <row r="11" spans="1:3" x14ac:dyDescent="0.35">
      <c r="A11" t="s">
        <v>1168</v>
      </c>
      <c r="B11" t="s">
        <v>1159</v>
      </c>
      <c r="C11" s="2" t="str">
        <f>VLOOKUP(mergecampos[[#This Row],[$Field]],ApenasDimensao[[#All],[ Dimensão]:[Table]],1,FALSE)</f>
        <v>_CYtdFechado_db</v>
      </c>
    </row>
    <row r="12" spans="1:3" x14ac:dyDescent="0.35">
      <c r="A12" t="s">
        <v>1169</v>
      </c>
      <c r="B12" t="s">
        <v>1159</v>
      </c>
      <c r="C12" s="2" t="str">
        <f>VLOOKUP(mergecampos[[#This Row],[$Field]],ApenasDimensao[[#All],[ Dimensão]:[Table]],1,FALSE)</f>
        <v>_PMath_db</v>
      </c>
    </row>
    <row r="13" spans="1:3" x14ac:dyDescent="0.35">
      <c r="A13" t="s">
        <v>1170</v>
      </c>
      <c r="B13" t="s">
        <v>1159</v>
      </c>
      <c r="C13" s="2" t="str">
        <f>VLOOKUP(mergecampos[[#This Row],[$Field]],ApenasDimensao[[#All],[ Dimensão]:[Table]],1,FALSE)</f>
        <v>_PMonth_db</v>
      </c>
    </row>
    <row r="14" spans="1:3" x14ac:dyDescent="0.35">
      <c r="A14" t="s">
        <v>1171</v>
      </c>
      <c r="B14" t="s">
        <v>1159</v>
      </c>
      <c r="C14" s="2" t="str">
        <f>VLOOKUP(mergecampos[[#This Row],[$Field]],ApenasDimensao[[#All],[ Dimensão]:[Table]],1,FALSE)</f>
        <v>_PSem_db</v>
      </c>
    </row>
    <row r="15" spans="1:3" x14ac:dyDescent="0.35">
      <c r="A15" t="s">
        <v>1172</v>
      </c>
      <c r="B15" t="s">
        <v>1159</v>
      </c>
      <c r="C15" s="2" t="str">
        <f>VLOOKUP(mergecampos[[#This Row],[$Field]],ApenasDimensao[[#All],[ Dimensão]:[Table]],1,FALSE)</f>
        <v>_PTrim_db</v>
      </c>
    </row>
    <row r="16" spans="1:3" x14ac:dyDescent="0.35">
      <c r="A16" t="s">
        <v>1173</v>
      </c>
      <c r="B16" t="s">
        <v>1159</v>
      </c>
      <c r="C16" s="2" t="str">
        <f>VLOOKUP(mergecampos[[#This Row],[$Field]],ApenasDimensao[[#All],[ Dimensão]:[Table]],1,FALSE)</f>
        <v>_PY_db</v>
      </c>
    </row>
    <row r="17" spans="1:3" x14ac:dyDescent="0.35">
      <c r="A17" t="s">
        <v>1174</v>
      </c>
      <c r="B17" t="s">
        <v>1159</v>
      </c>
      <c r="C17" s="2" t="str">
        <f>VLOOKUP(mergecampos[[#This Row],[$Field]],ApenasDimensao[[#All],[ Dimensão]:[Table]],1,FALSE)</f>
        <v>_PYtd_db</v>
      </c>
    </row>
    <row r="18" spans="1:3" x14ac:dyDescent="0.35">
      <c r="A18" t="s">
        <v>1175</v>
      </c>
      <c r="B18" t="s">
        <v>1159</v>
      </c>
      <c r="C18" s="2" t="str">
        <f>VLOOKUP(mergecampos[[#This Row],[$Field]],ApenasDimensao[[#All],[ Dimensão]:[Table]],1,FALSE)</f>
        <v>_PYtdFechado_db</v>
      </c>
    </row>
    <row r="19" spans="1:3" x14ac:dyDescent="0.35">
      <c r="A19" t="s">
        <v>1176</v>
      </c>
      <c r="B19" t="s">
        <v>1159</v>
      </c>
      <c r="C19" s="2" t="str">
        <f>VLOOKUP(mergecampos[[#This Row],[$Field]],ApenasDimensao[[#All],[ Dimensão]:[Table]],1,FALSE)</f>
        <v>%OrderDate</v>
      </c>
    </row>
    <row r="20" spans="1:3" x14ac:dyDescent="0.35">
      <c r="A20" t="s">
        <v>1176</v>
      </c>
      <c r="B20" t="s">
        <v>1177</v>
      </c>
      <c r="C20" s="2" t="str">
        <f>VLOOKUP(mergecampos[[#This Row],[$Field]],ApenasDimensao[[#All],[ Dimensão]:[Table]],1,FALSE)</f>
        <v>%OrderDate</v>
      </c>
    </row>
    <row r="21" spans="1:3" x14ac:dyDescent="0.35">
      <c r="A21" t="s">
        <v>1178</v>
      </c>
      <c r="B21" t="s">
        <v>1177</v>
      </c>
      <c r="C21" s="2" t="str">
        <f>VLOOKUP(mergecampos[[#This Row],[$Field]],ApenasDimensao[[#All],[ Dimensão]:[Table]],1,FALSE)</f>
        <v>CMV</v>
      </c>
    </row>
    <row r="22" spans="1:3" x14ac:dyDescent="0.35">
      <c r="A22" t="s">
        <v>1179</v>
      </c>
      <c r="B22" t="s">
        <v>1180</v>
      </c>
      <c r="C22" s="2" t="str">
        <f>VLOOKUP(mergecampos[[#This Row],[$Field]],ApenasDimensao[[#All],[ Dimensão]:[Table]],1,FALSE)</f>
        <v>COD_BAND_GMR</v>
      </c>
    </row>
    <row r="23" spans="1:3" x14ac:dyDescent="0.35">
      <c r="A23" t="s">
        <v>1181</v>
      </c>
      <c r="B23" t="s">
        <v>1180</v>
      </c>
      <c r="C23" s="2" t="str">
        <f>VLOOKUP(mergecampos[[#This Row],[$Field]],ApenasDimensao[[#All],[ Dimensão]:[Table]],1,FALSE)</f>
        <v>COD_EAN_MATERIAL</v>
      </c>
    </row>
    <row r="24" spans="1:3" x14ac:dyDescent="0.35">
      <c r="A24" t="s">
        <v>1182</v>
      </c>
      <c r="B24" t="s">
        <v>1177</v>
      </c>
      <c r="C24" s="2" t="str">
        <f>VLOOKUP(mergecampos[[#This Row],[$Field]],ApenasDimensao[[#All],[ Dimensão]:[Table]],1,FALSE)</f>
        <v>COD_FORNECEDOR_PFAT</v>
      </c>
    </row>
    <row r="25" spans="1:3" x14ac:dyDescent="0.35">
      <c r="A25" t="s">
        <v>1183</v>
      </c>
      <c r="B25" t="s">
        <v>1180</v>
      </c>
      <c r="C25" s="2" t="str">
        <f>VLOOKUP(mergecampos[[#This Row],[$Field]],ApenasDimensao[[#All],[ Dimensão]:[Table]],1,FALSE)</f>
        <v>COD_MATERIAL_SAP</v>
      </c>
    </row>
    <row r="26" spans="1:3" x14ac:dyDescent="0.35">
      <c r="A26" t="s">
        <v>1184</v>
      </c>
      <c r="B26" t="s">
        <v>1185</v>
      </c>
      <c r="C26" s="2" t="str">
        <f>VLOOKUP(mergecampos[[#This Row],[$Field]],ApenasDimensao[[#All],[ Dimensão]:[Table]],1,FALSE)</f>
        <v>COMPRADOR</v>
      </c>
    </row>
    <row r="27" spans="1:3" x14ac:dyDescent="0.35">
      <c r="A27" t="s">
        <v>1186</v>
      </c>
      <c r="B27" t="s">
        <v>1159</v>
      </c>
      <c r="C27" s="2" t="str">
        <f>VLOOKUP(mergecampos[[#This Row],[$Field]],ApenasDimensao[[#All],[ Dimensão]:[Table]],1,FALSE)</f>
        <v>Day_db</v>
      </c>
    </row>
    <row r="28" spans="1:3" x14ac:dyDescent="0.35">
      <c r="A28" t="s">
        <v>1187</v>
      </c>
      <c r="B28" t="s">
        <v>1159</v>
      </c>
      <c r="C28" s="2" t="str">
        <f>VLOOKUP(mergecampos[[#This Row],[$Field]],ApenasDimensao[[#All],[ Dimensão]:[Table]],1,FALSE)</f>
        <v>Day_of_Week_db</v>
      </c>
    </row>
    <row r="29" spans="1:3" x14ac:dyDescent="0.35">
      <c r="A29" t="s">
        <v>1188</v>
      </c>
      <c r="B29" t="s">
        <v>1159</v>
      </c>
      <c r="C29" s="2" t="str">
        <f>VLOOKUP(mergecampos[[#This Row],[$Field]],ApenasDimensao[[#All],[ Dimensão]:[Table]],1,FALSE)</f>
        <v>Day_of_Week_Name_db</v>
      </c>
    </row>
    <row r="30" spans="1:3" x14ac:dyDescent="0.35">
      <c r="A30" t="s">
        <v>1189</v>
      </c>
      <c r="B30" t="s">
        <v>1177</v>
      </c>
      <c r="C30" s="2" t="str">
        <f>VLOOKUP(mergecampos[[#This Row],[$Field]],ApenasDimensao[[#All],[ Dimensão]:[Table]],1,FALSE)</f>
        <v>DE_VLR_ESTOQUE_PF</v>
      </c>
    </row>
    <row r="31" spans="1:3" x14ac:dyDescent="0.35">
      <c r="A31" t="s">
        <v>1190</v>
      </c>
      <c r="B31" t="s">
        <v>1177</v>
      </c>
      <c r="C31" s="2" t="str">
        <f>VLOOKUP(mergecampos[[#This Row],[$Field]],ApenasDimensao[[#All],[ Dimensão]:[Table]],1,FALSE)</f>
        <v>DE_VLR_VPF_PROJETADA</v>
      </c>
    </row>
    <row r="32" spans="1:3" x14ac:dyDescent="0.35">
      <c r="A32" t="s">
        <v>1191</v>
      </c>
      <c r="B32" t="s">
        <v>1180</v>
      </c>
      <c r="C32" s="2" t="str">
        <f>VLOOKUP(mergecampos[[#This Row],[$Field]],ApenasDimensao[[#All],[ Dimensão]:[Table]],1,FALSE)</f>
        <v>DES_BAND_FORNECEDOR</v>
      </c>
    </row>
    <row r="33" spans="1:3" x14ac:dyDescent="0.35">
      <c r="A33" t="s">
        <v>1192</v>
      </c>
      <c r="B33" t="s">
        <v>1180</v>
      </c>
      <c r="C33" s="2" t="str">
        <f>VLOOKUP(mergecampos[[#This Row],[$Field]],ApenasDimensao[[#All],[ Dimensão]:[Table]],1,FALSE)</f>
        <v>DES_BAND_GMR</v>
      </c>
    </row>
    <row r="34" spans="1:3" x14ac:dyDescent="0.35">
      <c r="A34" t="s">
        <v>1193</v>
      </c>
      <c r="B34" t="s">
        <v>1177</v>
      </c>
      <c r="C34" s="2" t="str">
        <f>VLOOKUP(mergecampos[[#This Row],[$Field]],ApenasDimensao[[#All],[ Dimensão]:[Table]],1,FALSE)</f>
        <v>DES_CD</v>
      </c>
    </row>
    <row r="35" spans="1:3" x14ac:dyDescent="0.35">
      <c r="A35" t="s">
        <v>1194</v>
      </c>
      <c r="B35" t="s">
        <v>1180</v>
      </c>
      <c r="C35" s="2" t="str">
        <f>VLOOKUP(mergecampos[[#This Row],[$Field]],ApenasDimensao[[#All],[ Dimensão]:[Table]],1,FALSE)</f>
        <v>DES_ORIGEM</v>
      </c>
    </row>
    <row r="36" spans="1:3" x14ac:dyDescent="0.35">
      <c r="A36" t="s">
        <v>1195</v>
      </c>
      <c r="B36" t="s">
        <v>1177</v>
      </c>
      <c r="C36" s="2" t="str">
        <f>VLOOKUP(mergecampos[[#This Row],[$Field]],ApenasDimensao[[#All],[ Dimensão]:[Table]],1,FALSE)</f>
        <v>Desconto</v>
      </c>
    </row>
    <row r="37" spans="1:3" x14ac:dyDescent="0.35">
      <c r="A37" t="s">
        <v>1196</v>
      </c>
      <c r="B37" t="s">
        <v>1185</v>
      </c>
      <c r="C37" s="2" t="str">
        <f>VLOOKUP(mergecampos[[#This Row],[$Field]],ApenasDimensao[[#All],[ Dimensão]:[Table]],1,FALSE)</f>
        <v>GERENTE_CATEGORIA</v>
      </c>
    </row>
    <row r="38" spans="1:3" x14ac:dyDescent="0.35">
      <c r="A38" t="s">
        <v>1197</v>
      </c>
      <c r="B38" t="s">
        <v>1185</v>
      </c>
      <c r="C38" s="2" t="str">
        <f>VLOOKUP(mergecampos[[#This Row],[$Field]],ApenasDimensao[[#All],[ Dimensão]:[Table]],1,FALSE)</f>
        <v>GERENTE_COMPRAS</v>
      </c>
    </row>
    <row r="39" spans="1:3" x14ac:dyDescent="0.35">
      <c r="A39" t="s">
        <v>1198</v>
      </c>
      <c r="B39" t="s">
        <v>1177</v>
      </c>
      <c r="C39" s="2" t="str">
        <f>VLOOKUP(mergecampos[[#This Row],[$Field]],ApenasDimensao[[#All],[ Dimensão]:[Table]],1,FALSE)</f>
        <v>ID_LEADTIME</v>
      </c>
    </row>
    <row r="40" spans="1:3" x14ac:dyDescent="0.35">
      <c r="A40" t="s">
        <v>1199</v>
      </c>
      <c r="B40" t="s">
        <v>1177</v>
      </c>
      <c r="C40" s="2" t="str">
        <f>VLOOKUP(mergecampos[[#This Row],[$Field]],ApenasDimensao[[#All],[ Dimensão]:[Table]],1,FALSE)</f>
        <v>IDENT_FORNECEDOR</v>
      </c>
    </row>
    <row r="41" spans="1:3" x14ac:dyDescent="0.35">
      <c r="A41" t="s">
        <v>1200</v>
      </c>
      <c r="B41" t="s">
        <v>1180</v>
      </c>
      <c r="C41" s="2" t="str">
        <f>VLOOKUP(mergecampos[[#This Row],[$Field]],ApenasDimensao[[#All],[ Dimensão]:[Table]],1,FALSE)</f>
        <v>Key Cod Mat CD</v>
      </c>
    </row>
    <row r="42" spans="1:3" x14ac:dyDescent="0.35">
      <c r="A42" t="s">
        <v>1200</v>
      </c>
      <c r="B42" t="s">
        <v>1177</v>
      </c>
      <c r="C42" s="2" t="str">
        <f>VLOOKUP(mergecampos[[#This Row],[$Field]],ApenasDimensao[[#All],[ Dimensão]:[Table]],1,FALSE)</f>
        <v>Key Cod Mat CD</v>
      </c>
    </row>
    <row r="43" spans="1:3" x14ac:dyDescent="0.35">
      <c r="A43" t="s">
        <v>1201</v>
      </c>
      <c r="B43" t="s">
        <v>1185</v>
      </c>
      <c r="C43" s="2" t="str">
        <f>VLOOKUP(mergecampos[[#This Row],[$Field]],ApenasDimensao[[#All],[ Dimensão]:[Table]],1,FALSE)</f>
        <v>Key_COMPRADOR</v>
      </c>
    </row>
    <row r="44" spans="1:3" x14ac:dyDescent="0.35">
      <c r="A44" t="s">
        <v>1201</v>
      </c>
      <c r="B44" t="s">
        <v>1177</v>
      </c>
      <c r="C44" s="2" t="str">
        <f>VLOOKUP(mergecampos[[#This Row],[$Field]],ApenasDimensao[[#All],[ Dimensão]:[Table]],1,FALSE)</f>
        <v>Key_COMPRADOR</v>
      </c>
    </row>
    <row r="45" spans="1:3" x14ac:dyDescent="0.35">
      <c r="A45" t="s">
        <v>1202</v>
      </c>
      <c r="B45" t="s">
        <v>1177</v>
      </c>
      <c r="C45" s="2" t="str">
        <f>VLOOKUP(mergecampos[[#This Row],[$Field]],ApenasDimensao[[#All],[ Dimensão]:[Table]],1,FALSE)</f>
        <v>MAPA_VLR_ESTOQUELIVRE</v>
      </c>
    </row>
    <row r="46" spans="1:3" x14ac:dyDescent="0.35">
      <c r="A46" t="s">
        <v>1203</v>
      </c>
      <c r="B46" t="s">
        <v>1177</v>
      </c>
      <c r="C46" s="2" t="str">
        <f>VLOOKUP(mergecampos[[#This Row],[$Field]],ApenasDimensao[[#All],[ Dimensão]:[Table]],1,FALSE)</f>
        <v>MAPA_VLR_ESTOQUETOTAL</v>
      </c>
    </row>
    <row r="47" spans="1:3" x14ac:dyDescent="0.35">
      <c r="A47" t="s">
        <v>1204</v>
      </c>
      <c r="B47" t="s">
        <v>1177</v>
      </c>
      <c r="C47" s="2" t="str">
        <f>VLOOKUP(mergecampos[[#This Row],[$Field]],ApenasDimensao[[#All],[ Dimensão]:[Table]],1,FALSE)</f>
        <v>MAPA_VLR_MEDIAPOND</v>
      </c>
    </row>
    <row r="48" spans="1:3" x14ac:dyDescent="0.35">
      <c r="A48" t="s">
        <v>1205</v>
      </c>
      <c r="B48" t="s">
        <v>1159</v>
      </c>
      <c r="C48" s="2" t="str">
        <f>VLOOKUP(mergecampos[[#This Row],[$Field]],ApenasDimensao[[#All],[ Dimensão]:[Table]],1,FALSE)</f>
        <v>Month_db</v>
      </c>
    </row>
    <row r="49" spans="1:3" x14ac:dyDescent="0.35">
      <c r="A49" t="s">
        <v>1206</v>
      </c>
      <c r="B49" t="s">
        <v>1159</v>
      </c>
      <c r="C49" s="2" t="str">
        <f>VLOOKUP(mergecampos[[#This Row],[$Field]],ApenasDimensao[[#All],[ Dimensão]:[Table]],1,FALSE)</f>
        <v>Month_Number_db</v>
      </c>
    </row>
    <row r="50" spans="1:3" x14ac:dyDescent="0.35">
      <c r="A50" t="s">
        <v>1207</v>
      </c>
      <c r="B50" t="s">
        <v>1159</v>
      </c>
      <c r="C50" s="2" t="str">
        <f>VLOOKUP(mergecampos[[#This Row],[$Field]],ApenasDimensao[[#All],[ Dimensão]:[Table]],1,FALSE)</f>
        <v>MonthName_db</v>
      </c>
    </row>
    <row r="51" spans="1:3" x14ac:dyDescent="0.35">
      <c r="A51" t="s">
        <v>1208</v>
      </c>
      <c r="B51" t="s">
        <v>1180</v>
      </c>
      <c r="C51" s="2" t="str">
        <f>VLOOKUP(mergecampos[[#This Row],[$Field]],ApenasDimensao[[#All],[ Dimensão]:[Table]],1,FALSE)</f>
        <v>NME_MATERIAL</v>
      </c>
    </row>
    <row r="52" spans="1:3" x14ac:dyDescent="0.35">
      <c r="A52" t="s">
        <v>1209</v>
      </c>
      <c r="B52" t="s">
        <v>1177</v>
      </c>
      <c r="C52" s="2" t="str">
        <f>VLOOKUP(mergecampos[[#This Row],[$Field]],ApenasDimensao[[#All],[ Dimensão]:[Table]],1,FALSE)</f>
        <v>NomeEmpresa</v>
      </c>
    </row>
    <row r="53" spans="1:3" x14ac:dyDescent="0.35">
      <c r="A53" t="s">
        <v>1210</v>
      </c>
      <c r="B53" t="s">
        <v>1180</v>
      </c>
      <c r="C53" s="2" t="str">
        <f>VLOOKUP(mergecampos[[#This Row],[$Field]],ApenasDimensao[[#All],[ Dimensão]:[Table]],1,FALSE)</f>
        <v>Pacote</v>
      </c>
    </row>
    <row r="54" spans="1:3" x14ac:dyDescent="0.35">
      <c r="A54" t="s">
        <v>1211</v>
      </c>
      <c r="B54" t="s">
        <v>1177</v>
      </c>
      <c r="C54" s="2" t="str">
        <f>VLOOKUP(mergecampos[[#This Row],[$Field]],ApenasDimensao[[#All],[ Dimensão]:[Table]],1,FALSE)</f>
        <v>PC_FATOR_PONDERA</v>
      </c>
    </row>
    <row r="55" spans="1:3" x14ac:dyDescent="0.35">
      <c r="A55" t="s">
        <v>1212</v>
      </c>
      <c r="B55" t="s">
        <v>1177</v>
      </c>
      <c r="C55" s="2" t="str">
        <f>VLOOKUP(mergecampos[[#This Row],[$Field]],ApenasDimensao[[#All],[ Dimensão]:[Table]],1,FALSE)</f>
        <v>PC_VLR_PRZ_COMPRA_TOT</v>
      </c>
    </row>
    <row r="56" spans="1:3" x14ac:dyDescent="0.35">
      <c r="A56" t="s">
        <v>1213</v>
      </c>
      <c r="B56" t="s">
        <v>1177</v>
      </c>
      <c r="C56" s="2" t="str">
        <f>VLOOKUP(mergecampos[[#This Row],[$Field]],ApenasDimensao[[#All],[ Dimensão]:[Table]],1,FALSE)</f>
        <v>Pond. Fat ate Entrega</v>
      </c>
    </row>
    <row r="57" spans="1:3" x14ac:dyDescent="0.35">
      <c r="A57" t="s">
        <v>1214</v>
      </c>
      <c r="B57" t="s">
        <v>1177</v>
      </c>
      <c r="C57" s="2" t="str">
        <f>VLOOKUP(mergecampos[[#This Row],[$Field]],ApenasDimensao[[#All],[ Dimensão]:[Table]],1,FALSE)</f>
        <v>Pond. Interno</v>
      </c>
    </row>
    <row r="58" spans="1:3" x14ac:dyDescent="0.35">
      <c r="A58" t="s">
        <v>1215</v>
      </c>
      <c r="B58" t="s">
        <v>1177</v>
      </c>
      <c r="C58" s="2" t="str">
        <f>VLOOKUP(mergecampos[[#This Row],[$Field]],ApenasDimensao[[#All],[ Dimensão]:[Table]],1,FALSE)</f>
        <v>Pond. Ped ate Fat</v>
      </c>
    </row>
    <row r="59" spans="1:3" x14ac:dyDescent="0.35">
      <c r="A59" t="s">
        <v>1216</v>
      </c>
      <c r="B59" t="s">
        <v>1177</v>
      </c>
      <c r="C59" s="2" t="str">
        <f>VLOOKUP(mergecampos[[#This Row],[$Field]],ApenasDimensao[[#All],[ Dimensão]:[Table]],1,FALSE)</f>
        <v>QTD</v>
      </c>
    </row>
    <row r="60" spans="1:3" x14ac:dyDescent="0.35">
      <c r="A60" t="s">
        <v>1217</v>
      </c>
      <c r="B60" t="s">
        <v>1177</v>
      </c>
      <c r="C60" s="2" t="str">
        <f>VLOOKUP(mergecampos[[#This Row],[$Field]],ApenasDimensao[[#All],[ Dimensão]:[Table]],1,FALSE)</f>
        <v>QTD_ESTOQUE</v>
      </c>
    </row>
    <row r="61" spans="1:3" x14ac:dyDescent="0.35">
      <c r="A61" t="s">
        <v>1218</v>
      </c>
      <c r="B61" t="s">
        <v>1177</v>
      </c>
      <c r="C61" s="2" t="str">
        <f>VLOOKUP(mergecampos[[#This Row],[$Field]],ApenasDimensao[[#All],[ Dimensão]:[Table]],1,FALSE)</f>
        <v>QTD_PROJETADO</v>
      </c>
    </row>
    <row r="62" spans="1:3" x14ac:dyDescent="0.35">
      <c r="A62" t="s">
        <v>1219</v>
      </c>
      <c r="B62" t="s">
        <v>1159</v>
      </c>
      <c r="C62" s="2" t="str">
        <f>VLOOKUP(mergecampos[[#This Row],[$Field]],ApenasDimensao[[#All],[ Dimensão]:[Table]],1,FALSE)</f>
        <v>Quarter_db</v>
      </c>
    </row>
    <row r="63" spans="1:3" x14ac:dyDescent="0.35">
      <c r="A63" t="s">
        <v>1220</v>
      </c>
      <c r="B63" t="s">
        <v>1159</v>
      </c>
      <c r="C63" s="2" t="str">
        <f>VLOOKUP(mergecampos[[#This Row],[$Field]],ApenasDimensao[[#All],[ Dimensão]:[Table]],1,FALSE)</f>
        <v>Semester_db</v>
      </c>
    </row>
    <row r="64" spans="1:3" x14ac:dyDescent="0.35">
      <c r="A64" t="s">
        <v>1221</v>
      </c>
      <c r="B64" t="s">
        <v>1177</v>
      </c>
      <c r="C64" s="2" t="str">
        <f>VLOOKUP(mergecampos[[#This Row],[$Field]],ApenasDimensao[[#All],[ Dimensão]:[Table]],1,FALSE)</f>
        <v>TIPO_OPERACAO_VENDAS</v>
      </c>
    </row>
    <row r="65" spans="1:3" x14ac:dyDescent="0.35">
      <c r="A65" t="s">
        <v>1222</v>
      </c>
      <c r="B65" t="s">
        <v>1177</v>
      </c>
      <c r="C65" s="2" t="str">
        <f>VLOOKUP(mergecampos[[#This Row],[$Field]],ApenasDimensao[[#All],[ Dimensão]:[Table]],1,FALSE)</f>
        <v>TIPOVENDA</v>
      </c>
    </row>
    <row r="66" spans="1:3" x14ac:dyDescent="0.35">
      <c r="A66" t="s">
        <v>1223</v>
      </c>
      <c r="B66" t="s">
        <v>1177</v>
      </c>
      <c r="C66" s="2" t="str">
        <f>VLOOKUP(mergecampos[[#This Row],[$Field]],ApenasDimensao[[#All],[ Dimensão]:[Table]],1,FALSE)</f>
        <v>TOTAL_CONTABIL_PV</v>
      </c>
    </row>
    <row r="67" spans="1:3" x14ac:dyDescent="0.35">
      <c r="A67" t="s">
        <v>1224</v>
      </c>
      <c r="B67" t="s">
        <v>1177</v>
      </c>
      <c r="C67" s="2" t="str">
        <f>VLOOKUP(mergecampos[[#This Row],[$Field]],ApenasDimensao[[#All],[ Dimensão]:[Table]],1,FALSE)</f>
        <v>TOTAL_PONDERADO_PV</v>
      </c>
    </row>
    <row r="68" spans="1:3" x14ac:dyDescent="0.35">
      <c r="A68" t="s">
        <v>1225</v>
      </c>
      <c r="B68" t="s">
        <v>1180</v>
      </c>
      <c r="C68" s="2" t="str">
        <f>VLOOKUP(mergecampos[[#This Row],[$Field]],ApenasDimensao[[#All],[ Dimensão]:[Table]],1,FALSE)</f>
        <v>ULT_COD_SCRUZ</v>
      </c>
    </row>
    <row r="69" spans="1:3" x14ac:dyDescent="0.35">
      <c r="A69" t="s">
        <v>1226</v>
      </c>
      <c r="B69" t="s">
        <v>1177</v>
      </c>
      <c r="C69" s="2" t="str">
        <f>VLOOKUP(mergecampos[[#This Row],[$Field]],ApenasDimensao[[#All],[ Dimensão]:[Table]],1,FALSE)</f>
        <v>Valor Liq. NF BRL</v>
      </c>
    </row>
    <row r="70" spans="1:3" x14ac:dyDescent="0.35">
      <c r="A70" t="s">
        <v>1227</v>
      </c>
      <c r="B70" t="s">
        <v>1177</v>
      </c>
      <c r="C70" s="2" t="str">
        <f>VLOOKUP(mergecampos[[#This Row],[$Field]],ApenasDimensao[[#All],[ Dimensão]:[Table]],1,FALSE)</f>
        <v>Valor Liq. NF BRL Interno</v>
      </c>
    </row>
    <row r="71" spans="1:3" x14ac:dyDescent="0.35">
      <c r="A71" t="s">
        <v>1228</v>
      </c>
      <c r="B71" t="s">
        <v>1177</v>
      </c>
      <c r="C71" s="2" t="str">
        <f>VLOOKUP(mergecampos[[#This Row],[$Field]],ApenasDimensao[[#All],[ Dimensão]:[Table]],1,FALSE)</f>
        <v>VB</v>
      </c>
    </row>
    <row r="72" spans="1:3" x14ac:dyDescent="0.35">
      <c r="A72" t="s">
        <v>1229</v>
      </c>
      <c r="B72" t="s">
        <v>1177</v>
      </c>
      <c r="C72" s="2" t="str">
        <f>VLOOKUP(mergecampos[[#This Row],[$Field]],ApenasDimensao[[#All],[ Dimensão]:[Table]],1,FALSE)</f>
        <v>VB_DEVOL</v>
      </c>
    </row>
    <row r="73" spans="1:3" x14ac:dyDescent="0.35">
      <c r="A73" t="s">
        <v>1230</v>
      </c>
      <c r="B73" t="s">
        <v>1177</v>
      </c>
      <c r="C73" s="2" t="str">
        <f>VLOOKUP(mergecampos[[#This Row],[$Field]],ApenasDimensao[[#All],[ Dimensão]:[Table]],1,FALSE)</f>
        <v>VB_PROJETADO</v>
      </c>
    </row>
    <row r="74" spans="1:3" x14ac:dyDescent="0.35">
      <c r="A74" t="s">
        <v>1231</v>
      </c>
      <c r="B74" t="s">
        <v>1177</v>
      </c>
      <c r="C74" s="2" t="str">
        <f>VLOOKUP(mergecampos[[#This Row],[$Field]],ApenasDimensao[[#All],[ Dimensão]:[Table]],1,FALSE)</f>
        <v>VLR_COM_REBATE</v>
      </c>
    </row>
    <row r="75" spans="1:3" x14ac:dyDescent="0.35">
      <c r="A75" t="s">
        <v>1232</v>
      </c>
      <c r="B75" t="s">
        <v>1177</v>
      </c>
      <c r="C75" s="2" t="str">
        <f>VLOOKUP(mergecampos[[#This Row],[$Field]],ApenasDimensao[[#All],[ Dimensão]:[Table]],1,FALSE)</f>
        <v>VLR_ESTOQUE_PF</v>
      </c>
    </row>
    <row r="76" spans="1:3" x14ac:dyDescent="0.35">
      <c r="A76" t="s">
        <v>1233</v>
      </c>
      <c r="B76" t="s">
        <v>1177</v>
      </c>
      <c r="C76" s="2" t="str">
        <f>VLOOKUP(mergecampos[[#This Row],[$Field]],ApenasDimensao[[#All],[ Dimensão]:[Table]],1,FALSE)</f>
        <v>VLR_VPF_3MESES</v>
      </c>
    </row>
    <row r="77" spans="1:3" x14ac:dyDescent="0.35">
      <c r="A77" t="s">
        <v>1234</v>
      </c>
      <c r="B77" t="s">
        <v>1177</v>
      </c>
      <c r="C77" s="2" t="str">
        <f>VLOOKUP(mergecampos[[#This Row],[$Field]],ApenasDimensao[[#All],[ Dimensão]:[Table]],1,FALSE)</f>
        <v>VLR_VPF_ESTOQUE_LIVRE</v>
      </c>
    </row>
    <row r="78" spans="1:3" x14ac:dyDescent="0.35">
      <c r="A78" t="s">
        <v>1235</v>
      </c>
      <c r="B78" t="s">
        <v>1177</v>
      </c>
      <c r="C78" s="2" t="str">
        <f>VLOOKUP(mergecampos[[#This Row],[$Field]],ApenasDimensao[[#All],[ Dimensão]:[Table]],1,FALSE)</f>
        <v>VLR_VPF_PROJETADA</v>
      </c>
    </row>
    <row r="79" spans="1:3" x14ac:dyDescent="0.35">
      <c r="A79" t="s">
        <v>1236</v>
      </c>
      <c r="B79" t="s">
        <v>1177</v>
      </c>
      <c r="C79" s="2" t="str">
        <f>VLOOKUP(mergecampos[[#This Row],[$Field]],ApenasDimensao[[#All],[ Dimensão]:[Table]],1,FALSE)</f>
        <v>VPF</v>
      </c>
    </row>
    <row r="80" spans="1:3" x14ac:dyDescent="0.35">
      <c r="A80" t="s">
        <v>1237</v>
      </c>
      <c r="B80" t="s">
        <v>1177</v>
      </c>
      <c r="C80" s="2" t="str">
        <f>VLOOKUP(mergecampos[[#This Row],[$Field]],ApenasDimensao[[#All],[ Dimensão]:[Table]],1,FALSE)</f>
        <v>VPF_PROJETADO</v>
      </c>
    </row>
    <row r="81" spans="1:3" x14ac:dyDescent="0.35">
      <c r="A81" t="s">
        <v>1238</v>
      </c>
      <c r="B81" t="s">
        <v>1159</v>
      </c>
      <c r="C81" s="2" t="str">
        <f>VLOOKUP(mergecampos[[#This Row],[$Field]],ApenasDimensao[[#All],[ Dimensão]:[Table]],1,FALSE)</f>
        <v>Week_db</v>
      </c>
    </row>
    <row r="82" spans="1:3" x14ac:dyDescent="0.35">
      <c r="A82" t="s">
        <v>1239</v>
      </c>
      <c r="B82" t="s">
        <v>1159</v>
      </c>
      <c r="C82" s="2" t="str">
        <f>VLOOKUP(mergecampos[[#This Row],[$Field]],ApenasDimensao[[#All],[ Dimensão]:[Table]],1,FALSE)</f>
        <v>Week_of_Year_db</v>
      </c>
    </row>
    <row r="83" spans="1:3" x14ac:dyDescent="0.35">
      <c r="A83" t="s">
        <v>1240</v>
      </c>
      <c r="B83" t="s">
        <v>1159</v>
      </c>
      <c r="C83" s="2" t="str">
        <f>VLOOKUP(mergecampos[[#This Row],[$Field]],ApenasDimensao[[#All],[ Dimensão]:[Table]],1,FALSE)</f>
        <v>Year_db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01"/>
  <sheetViews>
    <sheetView topLeftCell="A9" workbookViewId="0">
      <selection activeCell="B19" sqref="B19"/>
    </sheetView>
  </sheetViews>
  <sheetFormatPr defaultRowHeight="14.5" x14ac:dyDescent="0.35"/>
  <cols>
    <col min="2" max="2" width="57.81640625" customWidth="1"/>
    <col min="3" max="3" width="57.1796875" bestFit="1" customWidth="1"/>
  </cols>
  <sheetData>
    <row r="1" spans="2:3" x14ac:dyDescent="0.35">
      <c r="B1" t="s">
        <v>470</v>
      </c>
      <c r="C1" t="s">
        <v>469</v>
      </c>
    </row>
    <row r="2" spans="2:3" x14ac:dyDescent="0.35">
      <c r="B2" t="s">
        <v>240</v>
      </c>
      <c r="C2" t="e">
        <f>VLOOKUP(MergeExpressoes[[#This Row],[VariableNameDentroCSV]],Medidas[#All],1,FALSE)</f>
        <v>#N/A</v>
      </c>
    </row>
    <row r="3" spans="2:3" x14ac:dyDescent="0.35">
      <c r="B3" t="s">
        <v>241</v>
      </c>
      <c r="C3" t="e">
        <f>VLOOKUP(MergeExpressoes[[#This Row],[VariableNameDentroCSV]],Medidas[#All],1,FALSE)</f>
        <v>#N/A</v>
      </c>
    </row>
    <row r="4" spans="2:3" x14ac:dyDescent="0.35">
      <c r="B4" t="s">
        <v>261</v>
      </c>
      <c r="C4" t="e">
        <f>VLOOKUP(MergeExpressoes[[#This Row],[VariableNameDentroCSV]],Medidas[#All],1,FALSE)</f>
        <v>#N/A</v>
      </c>
    </row>
    <row r="5" spans="2:3" x14ac:dyDescent="0.35">
      <c r="B5" t="s">
        <v>262</v>
      </c>
      <c r="C5" t="e">
        <f>VLOOKUP(MergeExpressoes[[#This Row],[VariableNameDentroCSV]],Medidas[#All],1,FALSE)</f>
        <v>#N/A</v>
      </c>
    </row>
    <row r="6" spans="2:3" x14ac:dyDescent="0.35">
      <c r="B6" t="s">
        <v>263</v>
      </c>
      <c r="C6" t="e">
        <f>VLOOKUP(MergeExpressoes[[#This Row],[VariableNameDentroCSV]],Medidas[#All],1,FALSE)</f>
        <v>#N/A</v>
      </c>
    </row>
    <row r="7" spans="2:3" x14ac:dyDescent="0.35">
      <c r="B7" t="s">
        <v>234</v>
      </c>
      <c r="C7" t="e">
        <f>VLOOKUP(MergeExpressoes[[#This Row],[VariableNameDentroCSV]],Medidas[#All],1,FALSE)</f>
        <v>#N/A</v>
      </c>
    </row>
    <row r="8" spans="2:3" x14ac:dyDescent="0.35">
      <c r="B8" t="s">
        <v>253</v>
      </c>
      <c r="C8" t="e">
        <f>VLOOKUP(MergeExpressoes[[#This Row],[VariableNameDentroCSV]],Medidas[#All],1,FALSE)</f>
        <v>#N/A</v>
      </c>
    </row>
    <row r="9" spans="2:3" x14ac:dyDescent="0.35">
      <c r="B9" t="s">
        <v>252</v>
      </c>
      <c r="C9" t="e">
        <f>VLOOKUP(MergeExpressoes[[#This Row],[VariableNameDentroCSV]],Medidas[#All],1,FALSE)</f>
        <v>#N/A</v>
      </c>
    </row>
    <row r="10" spans="2:3" x14ac:dyDescent="0.35">
      <c r="B10" t="s">
        <v>235</v>
      </c>
      <c r="C10" t="e">
        <f>VLOOKUP(MergeExpressoes[[#This Row],[VariableNameDentroCSV]],Medidas[#All],1,FALSE)</f>
        <v>#N/A</v>
      </c>
    </row>
    <row r="11" spans="2:3" x14ac:dyDescent="0.35">
      <c r="B11" t="s">
        <v>242</v>
      </c>
      <c r="C11" t="e">
        <f>VLOOKUP(MergeExpressoes[[#This Row],[VariableNameDentroCSV]],Medidas[#All],1,FALSE)</f>
        <v>#N/A</v>
      </c>
    </row>
    <row r="12" spans="2:3" x14ac:dyDescent="0.35">
      <c r="B12" t="s">
        <v>244</v>
      </c>
      <c r="C12" t="e">
        <f>VLOOKUP(MergeExpressoes[[#This Row],[VariableNameDentroCSV]],Medidas[#All],1,FALSE)</f>
        <v>#N/A</v>
      </c>
    </row>
    <row r="13" spans="2:3" x14ac:dyDescent="0.35">
      <c r="B13" t="s">
        <v>243</v>
      </c>
      <c r="C13" t="e">
        <f>VLOOKUP(MergeExpressoes[[#This Row],[VariableNameDentroCSV]],Medidas[#All],1,FALSE)</f>
        <v>#N/A</v>
      </c>
    </row>
    <row r="14" spans="2:3" x14ac:dyDescent="0.35">
      <c r="B14" t="s">
        <v>237</v>
      </c>
      <c r="C14" t="e">
        <f>VLOOKUP(MergeExpressoes[[#This Row],[VariableNameDentroCSV]],Medidas[#All],1,FALSE)</f>
        <v>#N/A</v>
      </c>
    </row>
    <row r="15" spans="2:3" x14ac:dyDescent="0.35">
      <c r="B15" t="s">
        <v>238</v>
      </c>
      <c r="C15" t="e">
        <f>VLOOKUP(MergeExpressoes[[#This Row],[VariableNameDentroCSV]],Medidas[#All],1,FALSE)</f>
        <v>#N/A</v>
      </c>
    </row>
    <row r="16" spans="2:3" x14ac:dyDescent="0.35">
      <c r="B16" t="s">
        <v>247</v>
      </c>
      <c r="C16" t="e">
        <f>VLOOKUP(MergeExpressoes[[#This Row],[VariableNameDentroCSV]],Medidas[#All],1,FALSE)</f>
        <v>#N/A</v>
      </c>
    </row>
    <row r="17" spans="2:3" x14ac:dyDescent="0.35">
      <c r="B17" t="s">
        <v>248</v>
      </c>
      <c r="C17" t="e">
        <f>VLOOKUP(MergeExpressoes[[#This Row],[VariableNameDentroCSV]],Medidas[#All],1,FALSE)</f>
        <v>#N/A</v>
      </c>
    </row>
    <row r="18" spans="2:3" x14ac:dyDescent="0.35">
      <c r="B18" t="s">
        <v>245</v>
      </c>
      <c r="C18" t="e">
        <f>VLOOKUP(MergeExpressoes[[#This Row],[VariableNameDentroCSV]],Medidas[#All],1,FALSE)</f>
        <v>#N/A</v>
      </c>
    </row>
    <row r="19" spans="2:3" x14ac:dyDescent="0.35">
      <c r="B19" t="s">
        <v>239</v>
      </c>
      <c r="C19" t="e">
        <f>VLOOKUP(MergeExpressoes[[#This Row],[VariableNameDentroCSV]],Medidas[#All],1,FALSE)</f>
        <v>#N/A</v>
      </c>
    </row>
    <row r="20" spans="2:3" x14ac:dyDescent="0.35">
      <c r="B20" t="s">
        <v>246</v>
      </c>
      <c r="C20" t="e">
        <f>VLOOKUP(MergeExpressoes[[#This Row],[VariableNameDentroCSV]],Medidas[#All],1,FALSE)</f>
        <v>#N/A</v>
      </c>
    </row>
    <row r="21" spans="2:3" x14ac:dyDescent="0.35">
      <c r="B21" t="s">
        <v>254</v>
      </c>
      <c r="C21" t="e">
        <f>VLOOKUP(MergeExpressoes[[#This Row],[VariableNameDentroCSV]],Medidas[#All],1,FALSE)</f>
        <v>#N/A</v>
      </c>
    </row>
    <row r="22" spans="2:3" x14ac:dyDescent="0.35">
      <c r="B22" t="s">
        <v>71</v>
      </c>
      <c r="C22" t="e">
        <f>VLOOKUP(MergeExpressoes[[#This Row],[VariableNameDentroCSV]],Medidas[#All],1,FALSE)</f>
        <v>#N/A</v>
      </c>
    </row>
    <row r="23" spans="2:3" x14ac:dyDescent="0.35">
      <c r="B23" t="s">
        <v>21</v>
      </c>
      <c r="C23" t="e">
        <f>VLOOKUP(MergeExpressoes[[#This Row],[VariableNameDentroCSV]],Medidas[#All],1,FALSE)</f>
        <v>#N/A</v>
      </c>
    </row>
    <row r="24" spans="2:3" x14ac:dyDescent="0.35">
      <c r="B24" t="s">
        <v>29</v>
      </c>
      <c r="C24" t="e">
        <f>VLOOKUP(MergeExpressoes[[#This Row],[VariableNameDentroCSV]],Medidas[#All],1,FALSE)</f>
        <v>#N/A</v>
      </c>
    </row>
    <row r="25" spans="2:3" x14ac:dyDescent="0.35">
      <c r="B25" t="s">
        <v>65</v>
      </c>
      <c r="C25" t="e">
        <f>VLOOKUP(MergeExpressoes[[#This Row],[VariableNameDentroCSV]],Medidas[#All],1,FALSE)</f>
        <v>#N/A</v>
      </c>
    </row>
    <row r="26" spans="2:3" x14ac:dyDescent="0.35">
      <c r="B26" t="s">
        <v>8</v>
      </c>
      <c r="C26" t="e">
        <f>VLOOKUP(MergeExpressoes[[#This Row],[VariableNameDentroCSV]],Medidas[#All],1,FALSE)</f>
        <v>#N/A</v>
      </c>
    </row>
    <row r="27" spans="2:3" x14ac:dyDescent="0.35">
      <c r="B27" t="s">
        <v>38</v>
      </c>
      <c r="C27" t="e">
        <f>VLOOKUP(MergeExpressoes[[#This Row],[VariableNameDentroCSV]],Medidas[#All],1,FALSE)</f>
        <v>#N/A</v>
      </c>
    </row>
    <row r="28" spans="2:3" x14ac:dyDescent="0.35">
      <c r="B28" t="s">
        <v>3</v>
      </c>
      <c r="C28" t="e">
        <f>VLOOKUP(MergeExpressoes[[#This Row],[VariableNameDentroCSV]],Medidas[#All],1,FALSE)</f>
        <v>#N/A</v>
      </c>
    </row>
    <row r="29" spans="2:3" x14ac:dyDescent="0.35">
      <c r="B29" t="s">
        <v>257</v>
      </c>
      <c r="C29" t="e">
        <f>VLOOKUP(MergeExpressoes[[#This Row],[VariableNameDentroCSV]],Medidas[#All],1,FALSE)</f>
        <v>#N/A</v>
      </c>
    </row>
    <row r="30" spans="2:3" x14ac:dyDescent="0.35">
      <c r="B30" t="s">
        <v>236</v>
      </c>
      <c r="C30" t="e">
        <f>VLOOKUP(MergeExpressoes[[#This Row],[VariableNameDentroCSV]],Medidas[#All],1,FALSE)</f>
        <v>#N/A</v>
      </c>
    </row>
    <row r="31" spans="2:3" x14ac:dyDescent="0.35">
      <c r="B31" t="s">
        <v>251</v>
      </c>
      <c r="C31" t="e">
        <f>VLOOKUP(MergeExpressoes[[#This Row],[VariableNameDentroCSV]],Medidas[#All],1,FALSE)</f>
        <v>#N/A</v>
      </c>
    </row>
    <row r="32" spans="2:3" x14ac:dyDescent="0.35">
      <c r="B32" t="s">
        <v>72</v>
      </c>
      <c r="C32" t="e">
        <f>VLOOKUP(MergeExpressoes[[#This Row],[VariableNameDentroCSV]],Medidas[#All],1,FALSE)</f>
        <v>#N/A</v>
      </c>
    </row>
    <row r="33" spans="2:3" x14ac:dyDescent="0.35">
      <c r="B33" t="s">
        <v>46</v>
      </c>
      <c r="C33" t="e">
        <f>VLOOKUP(MergeExpressoes[[#This Row],[VariableNameDentroCSV]],Medidas[#All],1,FALSE)</f>
        <v>#N/A</v>
      </c>
    </row>
    <row r="34" spans="2:3" x14ac:dyDescent="0.35">
      <c r="B34" t="s">
        <v>57</v>
      </c>
      <c r="C34" t="e">
        <f>VLOOKUP(MergeExpressoes[[#This Row],[VariableNameDentroCSV]],Medidas[#All],1,FALSE)</f>
        <v>#N/A</v>
      </c>
    </row>
    <row r="35" spans="2:3" x14ac:dyDescent="0.35">
      <c r="B35" t="s">
        <v>213</v>
      </c>
      <c r="C35" t="e">
        <f>VLOOKUP(MergeExpressoes[[#This Row],[VariableNameDentroCSV]],Medidas[#All],1,FALSE)</f>
        <v>#N/A</v>
      </c>
    </row>
    <row r="36" spans="2:3" x14ac:dyDescent="0.35">
      <c r="B36" t="s">
        <v>2</v>
      </c>
      <c r="C36" t="e">
        <f>VLOOKUP(MergeExpressoes[[#This Row],[VariableNameDentroCSV]],Medidas[#All],1,FALSE)</f>
        <v>#N/A</v>
      </c>
    </row>
    <row r="37" spans="2:3" x14ac:dyDescent="0.35">
      <c r="B37" t="s">
        <v>41</v>
      </c>
      <c r="C37" t="e">
        <f>VLOOKUP(MergeExpressoes[[#This Row],[VariableNameDentroCSV]],Medidas[#All],1,FALSE)</f>
        <v>#N/A</v>
      </c>
    </row>
    <row r="38" spans="2:3" x14ac:dyDescent="0.35">
      <c r="B38" t="s">
        <v>62</v>
      </c>
      <c r="C38" t="e">
        <f>VLOOKUP(MergeExpressoes[[#This Row],[VariableNameDentroCSV]],Medidas[#All],1,FALSE)</f>
        <v>#N/A</v>
      </c>
    </row>
    <row r="39" spans="2:3" x14ac:dyDescent="0.35">
      <c r="B39" t="s">
        <v>133</v>
      </c>
      <c r="C39" t="e">
        <f>VLOOKUP(MergeExpressoes[[#This Row],[VariableNameDentroCSV]],Medidas[#All],1,FALSE)</f>
        <v>#N/A</v>
      </c>
    </row>
    <row r="40" spans="2:3" x14ac:dyDescent="0.35">
      <c r="B40" t="s">
        <v>131</v>
      </c>
      <c r="C40" t="e">
        <f>VLOOKUP(MergeExpressoes[[#This Row],[VariableNameDentroCSV]],Medidas[#All],1,FALSE)</f>
        <v>#N/A</v>
      </c>
    </row>
    <row r="41" spans="2:3" x14ac:dyDescent="0.35">
      <c r="B41" t="s">
        <v>130</v>
      </c>
      <c r="C41" t="e">
        <f>VLOOKUP(MergeExpressoes[[#This Row],[VariableNameDentroCSV]],Medidas[#All],1,FALSE)</f>
        <v>#N/A</v>
      </c>
    </row>
    <row r="42" spans="2:3" x14ac:dyDescent="0.35">
      <c r="B42" t="s">
        <v>194</v>
      </c>
      <c r="C42" t="e">
        <f>VLOOKUP(MergeExpressoes[[#This Row],[VariableNameDentroCSV]],Medidas[#All],1,FALSE)</f>
        <v>#N/A</v>
      </c>
    </row>
    <row r="43" spans="2:3" x14ac:dyDescent="0.35">
      <c r="B43" t="s">
        <v>222</v>
      </c>
      <c r="C43" t="e">
        <f>VLOOKUP(MergeExpressoes[[#This Row],[VariableNameDentroCSV]],Medidas[#All],1,FALSE)</f>
        <v>#N/A</v>
      </c>
    </row>
    <row r="44" spans="2:3" x14ac:dyDescent="0.35">
      <c r="B44" t="s">
        <v>134</v>
      </c>
      <c r="C44" t="e">
        <f>VLOOKUP(MergeExpressoes[[#This Row],[VariableNameDentroCSV]],Medidas[#All],1,FALSE)</f>
        <v>#N/A</v>
      </c>
    </row>
    <row r="45" spans="2:3" x14ac:dyDescent="0.35">
      <c r="B45" t="s">
        <v>132</v>
      </c>
      <c r="C45" t="e">
        <f>VLOOKUP(MergeExpressoes[[#This Row],[VariableNameDentroCSV]],Medidas[#All],1,FALSE)</f>
        <v>#N/A</v>
      </c>
    </row>
    <row r="46" spans="2:3" x14ac:dyDescent="0.35">
      <c r="B46" t="s">
        <v>135</v>
      </c>
      <c r="C46" t="e">
        <f>VLOOKUP(MergeExpressoes[[#This Row],[VariableNameDentroCSV]],Medidas[#All],1,FALSE)</f>
        <v>#N/A</v>
      </c>
    </row>
    <row r="47" spans="2:3" x14ac:dyDescent="0.35">
      <c r="B47" t="s">
        <v>157</v>
      </c>
      <c r="C47" t="e">
        <f>VLOOKUP(MergeExpressoes[[#This Row],[VariableNameDentroCSV]],Medidas[#All],1,FALSE)</f>
        <v>#N/A</v>
      </c>
    </row>
    <row r="48" spans="2:3" x14ac:dyDescent="0.35">
      <c r="B48" t="s">
        <v>155</v>
      </c>
      <c r="C48" t="e">
        <f>VLOOKUP(MergeExpressoes[[#This Row],[VariableNameDentroCSV]],Medidas[#All],1,FALSE)</f>
        <v>#N/A</v>
      </c>
    </row>
    <row r="49" spans="2:3" x14ac:dyDescent="0.35">
      <c r="B49" t="s">
        <v>154</v>
      </c>
      <c r="C49" t="e">
        <f>VLOOKUP(MergeExpressoes[[#This Row],[VariableNameDentroCSV]],Medidas[#All],1,FALSE)</f>
        <v>#N/A</v>
      </c>
    </row>
    <row r="50" spans="2:3" x14ac:dyDescent="0.35">
      <c r="B50" t="s">
        <v>198</v>
      </c>
      <c r="C50" t="e">
        <f>VLOOKUP(MergeExpressoes[[#This Row],[VariableNameDentroCSV]],Medidas[#All],1,FALSE)</f>
        <v>#N/A</v>
      </c>
    </row>
    <row r="51" spans="2:3" x14ac:dyDescent="0.35">
      <c r="B51" t="s">
        <v>226</v>
      </c>
      <c r="C51" t="e">
        <f>VLOOKUP(MergeExpressoes[[#This Row],[VariableNameDentroCSV]],Medidas[#All],1,FALSE)</f>
        <v>#N/A</v>
      </c>
    </row>
    <row r="52" spans="2:3" x14ac:dyDescent="0.35">
      <c r="B52" t="s">
        <v>158</v>
      </c>
      <c r="C52" t="e">
        <f>VLOOKUP(MergeExpressoes[[#This Row],[VariableNameDentroCSV]],Medidas[#All],1,FALSE)</f>
        <v>#N/A</v>
      </c>
    </row>
    <row r="53" spans="2:3" x14ac:dyDescent="0.35">
      <c r="B53" t="s">
        <v>156</v>
      </c>
      <c r="C53" t="e">
        <f>VLOOKUP(MergeExpressoes[[#This Row],[VariableNameDentroCSV]],Medidas[#All],1,FALSE)</f>
        <v>#N/A</v>
      </c>
    </row>
    <row r="54" spans="2:3" x14ac:dyDescent="0.35">
      <c r="B54" t="s">
        <v>159</v>
      </c>
      <c r="C54" t="e">
        <f>VLOOKUP(MergeExpressoes[[#This Row],[VariableNameDentroCSV]],Medidas[#All],1,FALSE)</f>
        <v>#N/A</v>
      </c>
    </row>
    <row r="55" spans="2:3" x14ac:dyDescent="0.35">
      <c r="B55" t="s">
        <v>174</v>
      </c>
      <c r="C55" t="e">
        <f>VLOOKUP(MergeExpressoes[[#This Row],[VariableNameDentroCSV]],Medidas[#All],1,FALSE)</f>
        <v>#N/A</v>
      </c>
    </row>
    <row r="56" spans="2:3" x14ac:dyDescent="0.35">
      <c r="B56" t="s">
        <v>178</v>
      </c>
      <c r="C56" t="e">
        <f>VLOOKUP(MergeExpressoes[[#This Row],[VariableNameDentroCSV]],Medidas[#All],1,FALSE)</f>
        <v>#N/A</v>
      </c>
    </row>
    <row r="57" spans="2:3" x14ac:dyDescent="0.35">
      <c r="B57" t="s">
        <v>202</v>
      </c>
      <c r="C57" t="e">
        <f>VLOOKUP(MergeExpressoes[[#This Row],[VariableNameDentroCSV]],Medidas[#All],1,FALSE)</f>
        <v>#N/A</v>
      </c>
    </row>
    <row r="58" spans="2:3" x14ac:dyDescent="0.35">
      <c r="B58" t="s">
        <v>230</v>
      </c>
      <c r="C58" t="e">
        <f>VLOOKUP(MergeExpressoes[[#This Row],[VariableNameDentroCSV]],Medidas[#All],1,FALSE)</f>
        <v>#N/A</v>
      </c>
    </row>
    <row r="59" spans="2:3" x14ac:dyDescent="0.35">
      <c r="B59" t="s">
        <v>182</v>
      </c>
      <c r="C59" t="e">
        <f>VLOOKUP(MergeExpressoes[[#This Row],[VariableNameDentroCSV]],Medidas[#All],1,FALSE)</f>
        <v>#N/A</v>
      </c>
    </row>
    <row r="60" spans="2:3" x14ac:dyDescent="0.35">
      <c r="B60" t="s">
        <v>186</v>
      </c>
      <c r="C60" t="e">
        <f>VLOOKUP(MergeExpressoes[[#This Row],[VariableNameDentroCSV]],Medidas[#All],1,FALSE)</f>
        <v>#N/A</v>
      </c>
    </row>
    <row r="61" spans="2:3" x14ac:dyDescent="0.35">
      <c r="B61" t="s">
        <v>190</v>
      </c>
      <c r="C61" t="e">
        <f>VLOOKUP(MergeExpressoes[[#This Row],[VariableNameDentroCSV]],Medidas[#All],1,FALSE)</f>
        <v>#N/A</v>
      </c>
    </row>
    <row r="62" spans="2:3" x14ac:dyDescent="0.35">
      <c r="B62" t="s">
        <v>16</v>
      </c>
      <c r="C62" t="e">
        <f>VLOOKUP(MergeExpressoes[[#This Row],[VariableNameDentroCSV]],Medidas[#All],1,FALSE)</f>
        <v>#N/A</v>
      </c>
    </row>
    <row r="63" spans="2:3" x14ac:dyDescent="0.35">
      <c r="B63" t="s">
        <v>66</v>
      </c>
      <c r="C63" t="e">
        <f>VLOOKUP(MergeExpressoes[[#This Row],[VariableNameDentroCSV]],Medidas[#All],1,FALSE)</f>
        <v>#N/A</v>
      </c>
    </row>
    <row r="64" spans="2:3" x14ac:dyDescent="0.35">
      <c r="B64" t="s">
        <v>73</v>
      </c>
      <c r="C64" t="e">
        <f>VLOOKUP(MergeExpressoes[[#This Row],[VariableNameDentroCSV]],Medidas[#All],1,FALSE)</f>
        <v>#N/A</v>
      </c>
    </row>
    <row r="65" spans="2:3" x14ac:dyDescent="0.35">
      <c r="B65" t="s">
        <v>74</v>
      </c>
      <c r="C65" t="e">
        <f>VLOOKUP(MergeExpressoes[[#This Row],[VariableNameDentroCSV]],Medidas[#All],1,FALSE)</f>
        <v>#N/A</v>
      </c>
    </row>
    <row r="66" spans="2:3" x14ac:dyDescent="0.35">
      <c r="B66" t="s">
        <v>42</v>
      </c>
      <c r="C66" t="e">
        <f>VLOOKUP(MergeExpressoes[[#This Row],[VariableNameDentroCSV]],Medidas[#All],1,FALSE)</f>
        <v>#N/A</v>
      </c>
    </row>
    <row r="67" spans="2:3" x14ac:dyDescent="0.35">
      <c r="B67" t="s">
        <v>69</v>
      </c>
      <c r="C67" t="e">
        <f>VLOOKUP(MergeExpressoes[[#This Row],[VariableNameDentroCSV]],Medidas[#All],1,FALSE)</f>
        <v>#N/A</v>
      </c>
    </row>
    <row r="68" spans="2:3" x14ac:dyDescent="0.35">
      <c r="B68" t="s">
        <v>20</v>
      </c>
      <c r="C68" t="e">
        <f>VLOOKUP(MergeExpressoes[[#This Row],[VariableNameDentroCSV]],Medidas[#All],1,FALSE)</f>
        <v>#N/A</v>
      </c>
    </row>
    <row r="69" spans="2:3" x14ac:dyDescent="0.35">
      <c r="B69" t="s">
        <v>19</v>
      </c>
      <c r="C69" t="e">
        <f>VLOOKUP(MergeExpressoes[[#This Row],[VariableNameDentroCSV]],Medidas[#All],1,FALSE)</f>
        <v>#N/A</v>
      </c>
    </row>
    <row r="70" spans="2:3" x14ac:dyDescent="0.35">
      <c r="B70" t="s">
        <v>18</v>
      </c>
      <c r="C70" t="e">
        <f>VLOOKUP(MergeExpressoes[[#This Row],[VariableNameDentroCSV]],Medidas[#All],1,FALSE)</f>
        <v>#N/A</v>
      </c>
    </row>
    <row r="71" spans="2:3" x14ac:dyDescent="0.35">
      <c r="B71" t="s">
        <v>10</v>
      </c>
      <c r="C71" t="e">
        <f>VLOOKUP(MergeExpressoes[[#This Row],[VariableNameDentroCSV]],Medidas[#All],1,FALSE)</f>
        <v>#N/A</v>
      </c>
    </row>
    <row r="72" spans="2:3" x14ac:dyDescent="0.35">
      <c r="B72" t="s">
        <v>68</v>
      </c>
      <c r="C72" t="e">
        <f>VLOOKUP(MergeExpressoes[[#This Row],[VariableNameDentroCSV]],Medidas[#All],1,FALSE)</f>
        <v>#N/A</v>
      </c>
    </row>
    <row r="73" spans="2:3" x14ac:dyDescent="0.35">
      <c r="B73" t="s">
        <v>28</v>
      </c>
      <c r="C73" t="e">
        <f>VLOOKUP(MergeExpressoes[[#This Row],[VariableNameDentroCSV]],Medidas[#All],1,FALSE)</f>
        <v>#N/A</v>
      </c>
    </row>
    <row r="74" spans="2:3" x14ac:dyDescent="0.35">
      <c r="B74" t="s">
        <v>27</v>
      </c>
      <c r="C74" t="e">
        <f>VLOOKUP(MergeExpressoes[[#This Row],[VariableNameDentroCSV]],Medidas[#All],1,FALSE)</f>
        <v>#N/A</v>
      </c>
    </row>
    <row r="75" spans="2:3" x14ac:dyDescent="0.35">
      <c r="B75" t="s">
        <v>209</v>
      </c>
      <c r="C75" t="e">
        <f>VLOOKUP(MergeExpressoes[[#This Row],[VariableNameDentroCSV]],Medidas[#All],1,FALSE)</f>
        <v>#N/A</v>
      </c>
    </row>
    <row r="76" spans="2:3" x14ac:dyDescent="0.35">
      <c r="B76" t="s">
        <v>205</v>
      </c>
      <c r="C76" t="e">
        <f>VLOOKUP(MergeExpressoes[[#This Row],[VariableNameDentroCSV]],Medidas[#All],1,FALSE)</f>
        <v>#N/A</v>
      </c>
    </row>
    <row r="77" spans="2:3" x14ac:dyDescent="0.35">
      <c r="B77" t="s">
        <v>207</v>
      </c>
      <c r="C77" t="e">
        <f>VLOOKUP(MergeExpressoes[[#This Row],[VariableNameDentroCSV]],Medidas[#All],1,FALSE)</f>
        <v>#N/A</v>
      </c>
    </row>
    <row r="78" spans="2:3" x14ac:dyDescent="0.35">
      <c r="B78" t="s">
        <v>64</v>
      </c>
      <c r="C78" t="e">
        <f>VLOOKUP(MergeExpressoes[[#This Row],[VariableNameDentroCSV]],Medidas[#All],1,FALSE)</f>
        <v>#N/A</v>
      </c>
    </row>
    <row r="79" spans="2:3" x14ac:dyDescent="0.35">
      <c r="B79" t="s">
        <v>63</v>
      </c>
      <c r="C79" t="e">
        <f>VLOOKUP(MergeExpressoes[[#This Row],[VariableNameDentroCSV]],Medidas[#All],1,FALSE)</f>
        <v>#N/A</v>
      </c>
    </row>
    <row r="80" spans="2:3" x14ac:dyDescent="0.35">
      <c r="B80" t="s">
        <v>206</v>
      </c>
      <c r="C80" t="e">
        <f>VLOOKUP(MergeExpressoes[[#This Row],[VariableNameDentroCSV]],Medidas[#All],1,FALSE)</f>
        <v>#N/A</v>
      </c>
    </row>
    <row r="81" spans="2:3" x14ac:dyDescent="0.35">
      <c r="B81" t="s">
        <v>219</v>
      </c>
      <c r="C81" t="e">
        <f>VLOOKUP(MergeExpressoes[[#This Row],[VariableNameDentroCSV]],Medidas[#All],1,FALSE)</f>
        <v>#N/A</v>
      </c>
    </row>
    <row r="82" spans="2:3" x14ac:dyDescent="0.35">
      <c r="B82" t="s">
        <v>4</v>
      </c>
      <c r="C82" t="e">
        <f>VLOOKUP(MergeExpressoes[[#This Row],[VariableNameDentroCSV]],Medidas[#All],1,FALSE)</f>
        <v>#N/A</v>
      </c>
    </row>
    <row r="83" spans="2:3" x14ac:dyDescent="0.35">
      <c r="B83" t="s">
        <v>22</v>
      </c>
      <c r="C83" t="e">
        <f>VLOOKUP(MergeExpressoes[[#This Row],[VariableNameDentroCSV]],Medidas[#All],1,FALSE)</f>
        <v>#N/A</v>
      </c>
    </row>
    <row r="84" spans="2:3" x14ac:dyDescent="0.35">
      <c r="B84" t="s">
        <v>26</v>
      </c>
      <c r="C84" t="e">
        <f>VLOOKUP(MergeExpressoes[[#This Row],[VariableNameDentroCSV]],Medidas[#All],1,FALSE)</f>
        <v>#N/A</v>
      </c>
    </row>
    <row r="85" spans="2:3" x14ac:dyDescent="0.35">
      <c r="B85" t="s">
        <v>7</v>
      </c>
      <c r="C85" t="e">
        <f>VLOOKUP(MergeExpressoes[[#This Row],[VariableNameDentroCSV]],Medidas[#All],1,FALSE)</f>
        <v>#N/A</v>
      </c>
    </row>
    <row r="86" spans="2:3" x14ac:dyDescent="0.35">
      <c r="B86" t="s">
        <v>6</v>
      </c>
      <c r="C86" t="e">
        <f>VLOOKUP(MergeExpressoes[[#This Row],[VariableNameDentroCSV]],Medidas[#All],1,FALSE)</f>
        <v>#N/A</v>
      </c>
    </row>
    <row r="87" spans="2:3" x14ac:dyDescent="0.35">
      <c r="B87" t="s">
        <v>24</v>
      </c>
      <c r="C87" t="e">
        <f>VLOOKUP(MergeExpressoes[[#This Row],[VariableNameDentroCSV]],Medidas[#All],1,FALSE)</f>
        <v>#N/A</v>
      </c>
    </row>
    <row r="88" spans="2:3" x14ac:dyDescent="0.35">
      <c r="B88" t="s">
        <v>14</v>
      </c>
      <c r="C88" t="e">
        <f>VLOOKUP(MergeExpressoes[[#This Row],[VariableNameDentroCSV]],Medidas[#All],1,FALSE)</f>
        <v>#N/A</v>
      </c>
    </row>
    <row r="89" spans="2:3" x14ac:dyDescent="0.35">
      <c r="B89" t="s">
        <v>70</v>
      </c>
      <c r="C89" t="e">
        <f>VLOOKUP(MergeExpressoes[[#This Row],[VariableNameDentroCSV]],Medidas[#All],1,FALSE)</f>
        <v>#N/A</v>
      </c>
    </row>
    <row r="90" spans="2:3" x14ac:dyDescent="0.35">
      <c r="B90" t="s">
        <v>37</v>
      </c>
      <c r="C90" t="e">
        <f>VLOOKUP(MergeExpressoes[[#This Row],[VariableNameDentroCSV]],Medidas[#All],1,FALSE)</f>
        <v>#N/A</v>
      </c>
    </row>
    <row r="91" spans="2:3" x14ac:dyDescent="0.35">
      <c r="B91" t="s">
        <v>36</v>
      </c>
      <c r="C91" t="e">
        <f>VLOOKUP(MergeExpressoes[[#This Row],[VariableNameDentroCSV]],Medidas[#All],1,FALSE)</f>
        <v>#N/A</v>
      </c>
    </row>
    <row r="92" spans="2:3" x14ac:dyDescent="0.35">
      <c r="B92" t="s">
        <v>12</v>
      </c>
      <c r="C92" t="e">
        <f>VLOOKUP(MergeExpressoes[[#This Row],[VariableNameDentroCSV]],Medidas[#All],1,FALSE)</f>
        <v>#N/A</v>
      </c>
    </row>
    <row r="93" spans="2:3" x14ac:dyDescent="0.35">
      <c r="B93" t="s">
        <v>67</v>
      </c>
      <c r="C93" t="e">
        <f>VLOOKUP(MergeExpressoes[[#This Row],[VariableNameDentroCSV]],Medidas[#All],1,FALSE)</f>
        <v>#N/A</v>
      </c>
    </row>
    <row r="94" spans="2:3" x14ac:dyDescent="0.35">
      <c r="B94" t="s">
        <v>31</v>
      </c>
      <c r="C94" t="e">
        <f>VLOOKUP(MergeExpressoes[[#This Row],[VariableNameDentroCSV]],Medidas[#All],1,FALSE)</f>
        <v>#N/A</v>
      </c>
    </row>
    <row r="95" spans="2:3" x14ac:dyDescent="0.35">
      <c r="B95" t="s">
        <v>30</v>
      </c>
      <c r="C95" t="e">
        <f>VLOOKUP(MergeExpressoes[[#This Row],[VariableNameDentroCSV]],Medidas[#All],1,FALSE)</f>
        <v>#N/A</v>
      </c>
    </row>
    <row r="96" spans="2:3" x14ac:dyDescent="0.35">
      <c r="B96" t="s">
        <v>127</v>
      </c>
      <c r="C96" t="e">
        <f>VLOOKUP(MergeExpressoes[[#This Row],[VariableNameDentroCSV]],Medidas[#All],1,FALSE)</f>
        <v>#N/A</v>
      </c>
    </row>
    <row r="97" spans="2:3" x14ac:dyDescent="0.35">
      <c r="B97" t="s">
        <v>125</v>
      </c>
      <c r="C97" t="e">
        <f>VLOOKUP(MergeExpressoes[[#This Row],[VariableNameDentroCSV]],Medidas[#All],1,FALSE)</f>
        <v>#N/A</v>
      </c>
    </row>
    <row r="98" spans="2:3" x14ac:dyDescent="0.35">
      <c r="B98" t="s">
        <v>124</v>
      </c>
      <c r="C98" t="e">
        <f>VLOOKUP(MergeExpressoes[[#This Row],[VariableNameDentroCSV]],Medidas[#All],1,FALSE)</f>
        <v>#N/A</v>
      </c>
    </row>
    <row r="99" spans="2:3" x14ac:dyDescent="0.35">
      <c r="B99" t="s">
        <v>193</v>
      </c>
      <c r="C99" t="e">
        <f>VLOOKUP(MergeExpressoes[[#This Row],[VariableNameDentroCSV]],Medidas[#All],1,FALSE)</f>
        <v>#N/A</v>
      </c>
    </row>
    <row r="100" spans="2:3" x14ac:dyDescent="0.35">
      <c r="B100" t="s">
        <v>221</v>
      </c>
      <c r="C100" t="e">
        <f>VLOOKUP(MergeExpressoes[[#This Row],[VariableNameDentroCSV]],Medidas[#All],1,FALSE)</f>
        <v>#N/A</v>
      </c>
    </row>
    <row r="101" spans="2:3" x14ac:dyDescent="0.35">
      <c r="B101" t="s">
        <v>128</v>
      </c>
      <c r="C101" t="e">
        <f>VLOOKUP(MergeExpressoes[[#This Row],[VariableNameDentroCSV]],Medidas[#All],1,FALSE)</f>
        <v>#N/A</v>
      </c>
    </row>
    <row r="102" spans="2:3" x14ac:dyDescent="0.35">
      <c r="B102" t="s">
        <v>126</v>
      </c>
      <c r="C102" t="e">
        <f>VLOOKUP(MergeExpressoes[[#This Row],[VariableNameDentroCSV]],Medidas[#All],1,FALSE)</f>
        <v>#N/A</v>
      </c>
    </row>
    <row r="103" spans="2:3" x14ac:dyDescent="0.35">
      <c r="B103" t="s">
        <v>129</v>
      </c>
      <c r="C103" t="e">
        <f>VLOOKUP(MergeExpressoes[[#This Row],[VariableNameDentroCSV]],Medidas[#All],1,FALSE)</f>
        <v>#N/A</v>
      </c>
    </row>
    <row r="104" spans="2:3" x14ac:dyDescent="0.35">
      <c r="B104" t="s">
        <v>151</v>
      </c>
      <c r="C104" t="e">
        <f>VLOOKUP(MergeExpressoes[[#This Row],[VariableNameDentroCSV]],Medidas[#All],1,FALSE)</f>
        <v>#N/A</v>
      </c>
    </row>
    <row r="105" spans="2:3" x14ac:dyDescent="0.35">
      <c r="B105" t="s">
        <v>149</v>
      </c>
      <c r="C105" t="e">
        <f>VLOOKUP(MergeExpressoes[[#This Row],[VariableNameDentroCSV]],Medidas[#All],1,FALSE)</f>
        <v>#N/A</v>
      </c>
    </row>
    <row r="106" spans="2:3" x14ac:dyDescent="0.35">
      <c r="B106" t="s">
        <v>148</v>
      </c>
      <c r="C106" t="e">
        <f>VLOOKUP(MergeExpressoes[[#This Row],[VariableNameDentroCSV]],Medidas[#All],1,FALSE)</f>
        <v>#N/A</v>
      </c>
    </row>
    <row r="107" spans="2:3" x14ac:dyDescent="0.35">
      <c r="B107" t="s">
        <v>197</v>
      </c>
      <c r="C107" t="e">
        <f>VLOOKUP(MergeExpressoes[[#This Row],[VariableNameDentroCSV]],Medidas[#All],1,FALSE)</f>
        <v>#N/A</v>
      </c>
    </row>
    <row r="108" spans="2:3" x14ac:dyDescent="0.35">
      <c r="B108" t="s">
        <v>225</v>
      </c>
      <c r="C108" t="e">
        <f>VLOOKUP(MergeExpressoes[[#This Row],[VariableNameDentroCSV]],Medidas[#All],1,FALSE)</f>
        <v>#N/A</v>
      </c>
    </row>
    <row r="109" spans="2:3" x14ac:dyDescent="0.35">
      <c r="B109" t="s">
        <v>152</v>
      </c>
      <c r="C109" t="e">
        <f>VLOOKUP(MergeExpressoes[[#This Row],[VariableNameDentroCSV]],Medidas[#All],1,FALSE)</f>
        <v>#N/A</v>
      </c>
    </row>
    <row r="110" spans="2:3" x14ac:dyDescent="0.35">
      <c r="B110" t="s">
        <v>150</v>
      </c>
      <c r="C110" t="e">
        <f>VLOOKUP(MergeExpressoes[[#This Row],[VariableNameDentroCSV]],Medidas[#All],1,FALSE)</f>
        <v>#N/A</v>
      </c>
    </row>
    <row r="111" spans="2:3" x14ac:dyDescent="0.35">
      <c r="B111" t="s">
        <v>153</v>
      </c>
      <c r="C111" t="e">
        <f>VLOOKUP(MergeExpressoes[[#This Row],[VariableNameDentroCSV]],Medidas[#All],1,FALSE)</f>
        <v>#N/A</v>
      </c>
    </row>
    <row r="112" spans="2:3" x14ac:dyDescent="0.35">
      <c r="B112" t="s">
        <v>173</v>
      </c>
      <c r="C112" t="e">
        <f>VLOOKUP(MergeExpressoes[[#This Row],[VariableNameDentroCSV]],Medidas[#All],1,FALSE)</f>
        <v>#N/A</v>
      </c>
    </row>
    <row r="113" spans="2:3" x14ac:dyDescent="0.35">
      <c r="B113" t="s">
        <v>177</v>
      </c>
      <c r="C113" t="e">
        <f>VLOOKUP(MergeExpressoes[[#This Row],[VariableNameDentroCSV]],Medidas[#All],1,FALSE)</f>
        <v>#N/A</v>
      </c>
    </row>
    <row r="114" spans="2:3" x14ac:dyDescent="0.35">
      <c r="B114" t="s">
        <v>201</v>
      </c>
      <c r="C114" t="e">
        <f>VLOOKUP(MergeExpressoes[[#This Row],[VariableNameDentroCSV]],Medidas[#All],1,FALSE)</f>
        <v>#N/A</v>
      </c>
    </row>
    <row r="115" spans="2:3" x14ac:dyDescent="0.35">
      <c r="B115" t="s">
        <v>229</v>
      </c>
      <c r="C115" t="e">
        <f>VLOOKUP(MergeExpressoes[[#This Row],[VariableNameDentroCSV]],Medidas[#All],1,FALSE)</f>
        <v>#N/A</v>
      </c>
    </row>
    <row r="116" spans="2:3" x14ac:dyDescent="0.35">
      <c r="B116" t="s">
        <v>181</v>
      </c>
      <c r="C116" t="e">
        <f>VLOOKUP(MergeExpressoes[[#This Row],[VariableNameDentroCSV]],Medidas[#All],1,FALSE)</f>
        <v>#N/A</v>
      </c>
    </row>
    <row r="117" spans="2:3" x14ac:dyDescent="0.35">
      <c r="B117" t="s">
        <v>185</v>
      </c>
      <c r="C117" t="e">
        <f>VLOOKUP(MergeExpressoes[[#This Row],[VariableNameDentroCSV]],Medidas[#All],1,FALSE)</f>
        <v>#N/A</v>
      </c>
    </row>
    <row r="118" spans="2:3" x14ac:dyDescent="0.35">
      <c r="B118" t="s">
        <v>189</v>
      </c>
      <c r="C118" t="e">
        <f>VLOOKUP(MergeExpressoes[[#This Row],[VariableNameDentroCSV]],Medidas[#All],1,FALSE)</f>
        <v>#N/A</v>
      </c>
    </row>
    <row r="119" spans="2:3" x14ac:dyDescent="0.35">
      <c r="B119" t="s">
        <v>258</v>
      </c>
      <c r="C119" t="e">
        <f>VLOOKUP(MergeExpressoes[[#This Row],[VariableNameDentroCSV]],Medidas[#All],1,FALSE)</f>
        <v>#N/A</v>
      </c>
    </row>
    <row r="120" spans="2:3" x14ac:dyDescent="0.35">
      <c r="B120" t="s">
        <v>259</v>
      </c>
      <c r="C120" t="e">
        <f>VLOOKUP(MergeExpressoes[[#This Row],[VariableNameDentroCSV]],Medidas[#All],1,FALSE)</f>
        <v>#N/A</v>
      </c>
    </row>
    <row r="121" spans="2:3" x14ac:dyDescent="0.35">
      <c r="B121" t="s">
        <v>260</v>
      </c>
      <c r="C121" t="e">
        <f>VLOOKUP(MergeExpressoes[[#This Row],[VariableNameDentroCSV]],Medidas[#All],1,FALSE)</f>
        <v>#N/A</v>
      </c>
    </row>
    <row r="122" spans="2:3" x14ac:dyDescent="0.35">
      <c r="B122" t="s">
        <v>249</v>
      </c>
      <c r="C122" t="e">
        <f>VLOOKUP(MergeExpressoes[[#This Row],[VariableNameDentroCSV]],Medidas[#All],1,FALSE)</f>
        <v>#N/A</v>
      </c>
    </row>
    <row r="123" spans="2:3" x14ac:dyDescent="0.35">
      <c r="B123" t="s">
        <v>256</v>
      </c>
      <c r="C123" t="e">
        <f>VLOOKUP(MergeExpressoes[[#This Row],[VariableNameDentroCSV]],Medidas[#All],1,FALSE)</f>
        <v>#N/A</v>
      </c>
    </row>
    <row r="124" spans="2:3" x14ac:dyDescent="0.35">
      <c r="B124" t="s">
        <v>255</v>
      </c>
      <c r="C124" t="e">
        <f>VLOOKUP(MergeExpressoes[[#This Row],[VariableNameDentroCSV]],Medidas[#All],1,FALSE)</f>
        <v>#N/A</v>
      </c>
    </row>
    <row r="125" spans="2:3" x14ac:dyDescent="0.35">
      <c r="B125" t="s">
        <v>250</v>
      </c>
      <c r="C125" t="e">
        <f>VLOOKUP(MergeExpressoes[[#This Row],[VariableNameDentroCSV]],Medidas[#All],1,FALSE)</f>
        <v>#N/A</v>
      </c>
    </row>
    <row r="126" spans="2:3" x14ac:dyDescent="0.35">
      <c r="B126" t="s">
        <v>107</v>
      </c>
      <c r="C126" t="e">
        <f>VLOOKUP(MergeExpressoes[[#This Row],[VariableNameDentroCSV]],Medidas[#All],1,FALSE)</f>
        <v>#N/A</v>
      </c>
    </row>
    <row r="127" spans="2:3" x14ac:dyDescent="0.35">
      <c r="B127" t="s">
        <v>105</v>
      </c>
      <c r="C127" t="e">
        <f>VLOOKUP(MergeExpressoes[[#This Row],[VariableNameDentroCSV]],Medidas[#All],1,FALSE)</f>
        <v>#N/A</v>
      </c>
    </row>
    <row r="128" spans="2:3" x14ac:dyDescent="0.35">
      <c r="B128" t="s">
        <v>104</v>
      </c>
      <c r="C128" t="e">
        <f>VLOOKUP(MergeExpressoes[[#This Row],[VariableNameDentroCSV]],Medidas[#All],1,FALSE)</f>
        <v>#N/A</v>
      </c>
    </row>
    <row r="129" spans="2:3" x14ac:dyDescent="0.35">
      <c r="B129" t="s">
        <v>121</v>
      </c>
      <c r="C129" t="e">
        <f>VLOOKUP(MergeExpressoes[[#This Row],[VariableNameDentroCSV]],Medidas[#All],1,FALSE)</f>
        <v>#N/A</v>
      </c>
    </row>
    <row r="130" spans="2:3" x14ac:dyDescent="0.35">
      <c r="B130" t="s">
        <v>102</v>
      </c>
      <c r="C130" t="e">
        <f>VLOOKUP(MergeExpressoes[[#This Row],[VariableNameDentroCSV]],Medidas[#All],1,FALSE)</f>
        <v>#N/A</v>
      </c>
    </row>
    <row r="131" spans="2:3" x14ac:dyDescent="0.35">
      <c r="B131" t="s">
        <v>106</v>
      </c>
      <c r="C131" t="e">
        <f>VLOOKUP(MergeExpressoes[[#This Row],[VariableNameDentroCSV]],Medidas[#All],1,FALSE)</f>
        <v>#N/A</v>
      </c>
    </row>
    <row r="132" spans="2:3" x14ac:dyDescent="0.35">
      <c r="B132" t="s">
        <v>108</v>
      </c>
      <c r="C132" t="e">
        <f>VLOOKUP(MergeExpressoes[[#This Row],[VariableNameDentroCSV]],Medidas[#All],1,FALSE)</f>
        <v>#N/A</v>
      </c>
    </row>
    <row r="133" spans="2:3" x14ac:dyDescent="0.35">
      <c r="B133" t="s">
        <v>112</v>
      </c>
      <c r="C133" t="e">
        <f>VLOOKUP(MergeExpressoes[[#This Row],[VariableNameDentroCSV]],Medidas[#All],1,FALSE)</f>
        <v>#N/A</v>
      </c>
    </row>
    <row r="134" spans="2:3" x14ac:dyDescent="0.35">
      <c r="B134" t="s">
        <v>110</v>
      </c>
      <c r="C134" t="e">
        <f>VLOOKUP(MergeExpressoes[[#This Row],[VariableNameDentroCSV]],Medidas[#All],1,FALSE)</f>
        <v>#N/A</v>
      </c>
    </row>
    <row r="135" spans="2:3" x14ac:dyDescent="0.35">
      <c r="B135" t="s">
        <v>109</v>
      </c>
      <c r="C135" t="e">
        <f>VLOOKUP(MergeExpressoes[[#This Row],[VariableNameDentroCSV]],Medidas[#All],1,FALSE)</f>
        <v>#N/A</v>
      </c>
    </row>
    <row r="136" spans="2:3" x14ac:dyDescent="0.35">
      <c r="B136" t="s">
        <v>122</v>
      </c>
      <c r="C136" t="e">
        <f>VLOOKUP(MergeExpressoes[[#This Row],[VariableNameDentroCSV]],Medidas[#All],1,FALSE)</f>
        <v>#N/A</v>
      </c>
    </row>
    <row r="137" spans="2:3" x14ac:dyDescent="0.35">
      <c r="B137" t="s">
        <v>113</v>
      </c>
      <c r="C137" t="e">
        <f>VLOOKUP(MergeExpressoes[[#This Row],[VariableNameDentroCSV]],Medidas[#All],1,FALSE)</f>
        <v>#N/A</v>
      </c>
    </row>
    <row r="138" spans="2:3" x14ac:dyDescent="0.35">
      <c r="B138" t="s">
        <v>111</v>
      </c>
      <c r="C138" t="e">
        <f>VLOOKUP(MergeExpressoes[[#This Row],[VariableNameDentroCSV]],Medidas[#All],1,FALSE)</f>
        <v>#N/A</v>
      </c>
    </row>
    <row r="139" spans="2:3" x14ac:dyDescent="0.35">
      <c r="B139" t="s">
        <v>114</v>
      </c>
      <c r="C139" t="e">
        <f>VLOOKUP(MergeExpressoes[[#This Row],[VariableNameDentroCSV]],Medidas[#All],1,FALSE)</f>
        <v>#N/A</v>
      </c>
    </row>
    <row r="140" spans="2:3" x14ac:dyDescent="0.35">
      <c r="B140" t="s">
        <v>118</v>
      </c>
      <c r="C140" t="e">
        <f>VLOOKUP(MergeExpressoes[[#This Row],[VariableNameDentroCSV]],Medidas[#All],1,FALSE)</f>
        <v>#N/A</v>
      </c>
    </row>
    <row r="141" spans="2:3" x14ac:dyDescent="0.35">
      <c r="B141" t="s">
        <v>116</v>
      </c>
      <c r="C141" t="e">
        <f>VLOOKUP(MergeExpressoes[[#This Row],[VariableNameDentroCSV]],Medidas[#All],1,FALSE)</f>
        <v>#N/A</v>
      </c>
    </row>
    <row r="142" spans="2:3" x14ac:dyDescent="0.35">
      <c r="B142" t="s">
        <v>115</v>
      </c>
      <c r="C142" t="e">
        <f>VLOOKUP(MergeExpressoes[[#This Row],[VariableNameDentroCSV]],Medidas[#All],1,FALSE)</f>
        <v>#N/A</v>
      </c>
    </row>
    <row r="143" spans="2:3" x14ac:dyDescent="0.35">
      <c r="B143" t="s">
        <v>123</v>
      </c>
      <c r="C143" t="e">
        <f>VLOOKUP(MergeExpressoes[[#This Row],[VariableNameDentroCSV]],Medidas[#All],1,FALSE)</f>
        <v>#N/A</v>
      </c>
    </row>
    <row r="144" spans="2:3" x14ac:dyDescent="0.35">
      <c r="B144" t="s">
        <v>119</v>
      </c>
      <c r="C144" t="e">
        <f>VLOOKUP(MergeExpressoes[[#This Row],[VariableNameDentroCSV]],Medidas[#All],1,FALSE)</f>
        <v>#N/A</v>
      </c>
    </row>
    <row r="145" spans="2:3" x14ac:dyDescent="0.35">
      <c r="B145" t="s">
        <v>117</v>
      </c>
      <c r="C145" t="e">
        <f>VLOOKUP(MergeExpressoes[[#This Row],[VariableNameDentroCSV]],Medidas[#All],1,FALSE)</f>
        <v>#N/A</v>
      </c>
    </row>
    <row r="146" spans="2:3" x14ac:dyDescent="0.35">
      <c r="B146" t="s">
        <v>120</v>
      </c>
      <c r="C146" t="e">
        <f>VLOOKUP(MergeExpressoes[[#This Row],[VariableNameDentroCSV]],Medidas[#All],1,FALSE)</f>
        <v>#N/A</v>
      </c>
    </row>
    <row r="147" spans="2:3" x14ac:dyDescent="0.35">
      <c r="B147" t="s">
        <v>75</v>
      </c>
      <c r="C147" t="e">
        <f>VLOOKUP(MergeExpressoes[[#This Row],[VariableNameDentroCSV]],Medidas[#All],1,FALSE)</f>
        <v>#N/A</v>
      </c>
    </row>
    <row r="148" spans="2:3" x14ac:dyDescent="0.35">
      <c r="B148" t="s">
        <v>9</v>
      </c>
      <c r="C148" t="e">
        <f>VLOOKUP(MergeExpressoes[[#This Row],[VariableNameDentroCSV]],Medidas[#All],1,FALSE)</f>
        <v>#N/A</v>
      </c>
    </row>
    <row r="149" spans="2:3" x14ac:dyDescent="0.35">
      <c r="B149" t="s">
        <v>78</v>
      </c>
      <c r="C149" t="e">
        <f>VLOOKUP(MergeExpressoes[[#This Row],[VariableNameDentroCSV]],Medidas[#All],1,FALSE)</f>
        <v>#N/A</v>
      </c>
    </row>
    <row r="150" spans="2:3" x14ac:dyDescent="0.35">
      <c r="B150" t="s">
        <v>79</v>
      </c>
      <c r="C150" t="e">
        <f>VLOOKUP(MergeExpressoes[[#This Row],[VariableNameDentroCSV]],Medidas[#All],1,FALSE)</f>
        <v>#N/A</v>
      </c>
    </row>
    <row r="151" spans="2:3" x14ac:dyDescent="0.35">
      <c r="B151" t="s">
        <v>81</v>
      </c>
      <c r="C151" t="e">
        <f>VLOOKUP(MergeExpressoes[[#This Row],[VariableNameDentroCSV]],Medidas[#All],1,FALSE)</f>
        <v>#N/A</v>
      </c>
    </row>
    <row r="152" spans="2:3" x14ac:dyDescent="0.35">
      <c r="B152" t="s">
        <v>80</v>
      </c>
      <c r="C152" t="e">
        <f>VLOOKUP(MergeExpressoes[[#This Row],[VariableNameDentroCSV]],Medidas[#All],1,FALSE)</f>
        <v>#N/A</v>
      </c>
    </row>
    <row r="153" spans="2:3" x14ac:dyDescent="0.35">
      <c r="B153" t="s">
        <v>82</v>
      </c>
      <c r="C153" t="e">
        <f>VLOOKUP(MergeExpressoes[[#This Row],[VariableNameDentroCSV]],Medidas[#All],1,FALSE)</f>
        <v>#N/A</v>
      </c>
    </row>
    <row r="154" spans="2:3" x14ac:dyDescent="0.35">
      <c r="B154" t="s">
        <v>145</v>
      </c>
      <c r="C154" t="e">
        <f>VLOOKUP(MergeExpressoes[[#This Row],[VariableNameDentroCSV]],Medidas[#All],1,FALSE)</f>
        <v>#N/A</v>
      </c>
    </row>
    <row r="155" spans="2:3" x14ac:dyDescent="0.35">
      <c r="B155" t="s">
        <v>143</v>
      </c>
      <c r="C155" t="e">
        <f>VLOOKUP(MergeExpressoes[[#This Row],[VariableNameDentroCSV]],Medidas[#All],1,FALSE)</f>
        <v>#N/A</v>
      </c>
    </row>
    <row r="156" spans="2:3" x14ac:dyDescent="0.35">
      <c r="B156" t="s">
        <v>142</v>
      </c>
      <c r="C156" t="e">
        <f>VLOOKUP(MergeExpressoes[[#This Row],[VariableNameDentroCSV]],Medidas[#All],1,FALSE)</f>
        <v>#N/A</v>
      </c>
    </row>
    <row r="157" spans="2:3" x14ac:dyDescent="0.35">
      <c r="B157" t="s">
        <v>196</v>
      </c>
      <c r="C157" t="e">
        <f>VLOOKUP(MergeExpressoes[[#This Row],[VariableNameDentroCSV]],Medidas[#All],1,FALSE)</f>
        <v>#N/A</v>
      </c>
    </row>
    <row r="158" spans="2:3" x14ac:dyDescent="0.35">
      <c r="B158" t="s">
        <v>224</v>
      </c>
      <c r="C158" t="e">
        <f>VLOOKUP(MergeExpressoes[[#This Row],[VariableNameDentroCSV]],Medidas[#All],1,FALSE)</f>
        <v>#N/A</v>
      </c>
    </row>
    <row r="159" spans="2:3" x14ac:dyDescent="0.35">
      <c r="B159" t="s">
        <v>146</v>
      </c>
      <c r="C159" t="e">
        <f>VLOOKUP(MergeExpressoes[[#This Row],[VariableNameDentroCSV]],Medidas[#All],1,FALSE)</f>
        <v>#N/A</v>
      </c>
    </row>
    <row r="160" spans="2:3" x14ac:dyDescent="0.35">
      <c r="B160" t="s">
        <v>144</v>
      </c>
      <c r="C160" t="e">
        <f>VLOOKUP(MergeExpressoes[[#This Row],[VariableNameDentroCSV]],Medidas[#All],1,FALSE)</f>
        <v>#N/A</v>
      </c>
    </row>
    <row r="161" spans="2:3" x14ac:dyDescent="0.35">
      <c r="B161" t="s">
        <v>147</v>
      </c>
      <c r="C161" t="e">
        <f>VLOOKUP(MergeExpressoes[[#This Row],[VariableNameDentroCSV]],Medidas[#All],1,FALSE)</f>
        <v>#N/A</v>
      </c>
    </row>
    <row r="162" spans="2:3" x14ac:dyDescent="0.35">
      <c r="B162" t="s">
        <v>169</v>
      </c>
      <c r="C162" t="e">
        <f>VLOOKUP(MergeExpressoes[[#This Row],[VariableNameDentroCSV]],Medidas[#All],1,FALSE)</f>
        <v>#N/A</v>
      </c>
    </row>
    <row r="163" spans="2:3" x14ac:dyDescent="0.35">
      <c r="B163" t="s">
        <v>167</v>
      </c>
      <c r="C163" t="e">
        <f>VLOOKUP(MergeExpressoes[[#This Row],[VariableNameDentroCSV]],Medidas[#All],1,FALSE)</f>
        <v>#N/A</v>
      </c>
    </row>
    <row r="164" spans="2:3" x14ac:dyDescent="0.35">
      <c r="B164" t="s">
        <v>166</v>
      </c>
      <c r="C164" t="e">
        <f>VLOOKUP(MergeExpressoes[[#This Row],[VariableNameDentroCSV]],Medidas[#All],1,FALSE)</f>
        <v>#N/A</v>
      </c>
    </row>
    <row r="165" spans="2:3" x14ac:dyDescent="0.35">
      <c r="B165" t="s">
        <v>200</v>
      </c>
      <c r="C165" t="e">
        <f>VLOOKUP(MergeExpressoes[[#This Row],[VariableNameDentroCSV]],Medidas[#All],1,FALSE)</f>
        <v>#N/A</v>
      </c>
    </row>
    <row r="166" spans="2:3" x14ac:dyDescent="0.35">
      <c r="B166" t="s">
        <v>228</v>
      </c>
      <c r="C166" t="e">
        <f>VLOOKUP(MergeExpressoes[[#This Row],[VariableNameDentroCSV]],Medidas[#All],1,FALSE)</f>
        <v>#N/A</v>
      </c>
    </row>
    <row r="167" spans="2:3" x14ac:dyDescent="0.35">
      <c r="B167" t="s">
        <v>170</v>
      </c>
      <c r="C167" t="e">
        <f>VLOOKUP(MergeExpressoes[[#This Row],[VariableNameDentroCSV]],Medidas[#All],1,FALSE)</f>
        <v>#N/A</v>
      </c>
    </row>
    <row r="168" spans="2:3" x14ac:dyDescent="0.35">
      <c r="B168" t="s">
        <v>168</v>
      </c>
      <c r="C168" t="e">
        <f>VLOOKUP(MergeExpressoes[[#This Row],[VariableNameDentroCSV]],Medidas[#All],1,FALSE)</f>
        <v>#N/A</v>
      </c>
    </row>
    <row r="169" spans="2:3" x14ac:dyDescent="0.35">
      <c r="B169" t="s">
        <v>171</v>
      </c>
      <c r="C169" t="e">
        <f>VLOOKUP(MergeExpressoes[[#This Row],[VariableNameDentroCSV]],Medidas[#All],1,FALSE)</f>
        <v>#N/A</v>
      </c>
    </row>
    <row r="170" spans="2:3" x14ac:dyDescent="0.35">
      <c r="B170" t="s">
        <v>176</v>
      </c>
      <c r="C170" t="e">
        <f>VLOOKUP(MergeExpressoes[[#This Row],[VariableNameDentroCSV]],Medidas[#All],1,FALSE)</f>
        <v>#N/A</v>
      </c>
    </row>
    <row r="171" spans="2:3" x14ac:dyDescent="0.35">
      <c r="B171" t="s">
        <v>180</v>
      </c>
      <c r="C171" t="e">
        <f>VLOOKUP(MergeExpressoes[[#This Row],[VariableNameDentroCSV]],Medidas[#All],1,FALSE)</f>
        <v>#N/A</v>
      </c>
    </row>
    <row r="172" spans="2:3" x14ac:dyDescent="0.35">
      <c r="B172" t="s">
        <v>204</v>
      </c>
      <c r="C172" t="e">
        <f>VLOOKUP(MergeExpressoes[[#This Row],[VariableNameDentroCSV]],Medidas[#All],1,FALSE)</f>
        <v>#N/A</v>
      </c>
    </row>
    <row r="173" spans="2:3" x14ac:dyDescent="0.35">
      <c r="B173" t="s">
        <v>232</v>
      </c>
      <c r="C173" t="e">
        <f>VLOOKUP(MergeExpressoes[[#This Row],[VariableNameDentroCSV]],Medidas[#All],1,FALSE)</f>
        <v>#N/A</v>
      </c>
    </row>
    <row r="174" spans="2:3" x14ac:dyDescent="0.35">
      <c r="B174" t="s">
        <v>184</v>
      </c>
      <c r="C174" t="e">
        <f>VLOOKUP(MergeExpressoes[[#This Row],[VariableNameDentroCSV]],Medidas[#All],1,FALSE)</f>
        <v>#N/A</v>
      </c>
    </row>
    <row r="175" spans="2:3" x14ac:dyDescent="0.35">
      <c r="B175" t="s">
        <v>188</v>
      </c>
      <c r="C175" t="e">
        <f>VLOOKUP(MergeExpressoes[[#This Row],[VariableNameDentroCSV]],Medidas[#All],1,FALSE)</f>
        <v>#N/A</v>
      </c>
    </row>
    <row r="176" spans="2:3" x14ac:dyDescent="0.35">
      <c r="B176" t="s">
        <v>192</v>
      </c>
      <c r="C176" t="e">
        <f>VLOOKUP(MergeExpressoes[[#This Row],[VariableNameDentroCSV]],Medidas[#All],1,FALSE)</f>
        <v>#N/A</v>
      </c>
    </row>
    <row r="177" spans="2:3" x14ac:dyDescent="0.35">
      <c r="B177" t="s">
        <v>17</v>
      </c>
      <c r="C177" t="e">
        <f>VLOOKUP(MergeExpressoes[[#This Row],[VariableNameDentroCSV]],Medidas[#All],1,FALSE)</f>
        <v>#N/A</v>
      </c>
    </row>
    <row r="178" spans="2:3" x14ac:dyDescent="0.35">
      <c r="B178" t="s">
        <v>85</v>
      </c>
      <c r="C178" t="e">
        <f>VLOOKUP(MergeExpressoes[[#This Row],[VariableNameDentroCSV]],Medidas[#All],1,FALSE)</f>
        <v>#N/A</v>
      </c>
    </row>
    <row r="179" spans="2:3" x14ac:dyDescent="0.35">
      <c r="B179" t="s">
        <v>76</v>
      </c>
      <c r="C179" t="e">
        <f>VLOOKUP(MergeExpressoes[[#This Row],[VariableNameDentroCSV]],Medidas[#All],1,FALSE)</f>
        <v>#N/A</v>
      </c>
    </row>
    <row r="180" spans="2:3" x14ac:dyDescent="0.35">
      <c r="B180" t="s">
        <v>77</v>
      </c>
      <c r="C180" t="e">
        <f>VLOOKUP(MergeExpressoes[[#This Row],[VariableNameDentroCSV]],Medidas[#All],1,FALSE)</f>
        <v>#N/A</v>
      </c>
    </row>
    <row r="181" spans="2:3" x14ac:dyDescent="0.35">
      <c r="B181" t="s">
        <v>43</v>
      </c>
      <c r="C181" t="e">
        <f>VLOOKUP(MergeExpressoes[[#This Row],[VariableNameDentroCSV]],Medidas[#All],1,FALSE)</f>
        <v>#N/A</v>
      </c>
    </row>
    <row r="182" spans="2:3" x14ac:dyDescent="0.35">
      <c r="B182" t="s">
        <v>84</v>
      </c>
      <c r="C182" t="e">
        <f>VLOOKUP(MergeExpressoes[[#This Row],[VariableNameDentroCSV]],Medidas[#All],1,FALSE)</f>
        <v>#N/A</v>
      </c>
    </row>
    <row r="183" spans="2:3" x14ac:dyDescent="0.35">
      <c r="B183" t="s">
        <v>45</v>
      </c>
      <c r="C183" t="e">
        <f>VLOOKUP(MergeExpressoes[[#This Row],[VariableNameDentroCSV]],Medidas[#All],1,FALSE)</f>
        <v>#N/A</v>
      </c>
    </row>
    <row r="184" spans="2:3" x14ac:dyDescent="0.35">
      <c r="B184" t="s">
        <v>44</v>
      </c>
      <c r="C184" t="e">
        <f>VLOOKUP(MergeExpressoes[[#This Row],[VariableNameDentroCSV]],Medidas[#All],1,FALSE)</f>
        <v>#N/A</v>
      </c>
    </row>
    <row r="185" spans="2:3" x14ac:dyDescent="0.35">
      <c r="B185" t="s">
        <v>11</v>
      </c>
      <c r="C185" t="e">
        <f>VLOOKUP(MergeExpressoes[[#This Row],[VariableNameDentroCSV]],Medidas[#All],1,FALSE)</f>
        <v>#N/A</v>
      </c>
    </row>
    <row r="186" spans="2:3" x14ac:dyDescent="0.35">
      <c r="B186" t="s">
        <v>33</v>
      </c>
      <c r="C186" t="e">
        <f>VLOOKUP(MergeExpressoes[[#This Row],[VariableNameDentroCSV]],Medidas[#All],1,FALSE)</f>
        <v>#N/A</v>
      </c>
    </row>
    <row r="187" spans="2:3" x14ac:dyDescent="0.35">
      <c r="B187" t="s">
        <v>58</v>
      </c>
      <c r="C187" t="e">
        <f>VLOOKUP(MergeExpressoes[[#This Row],[VariableNameDentroCSV]],Medidas[#All],1,FALSE)</f>
        <v>#N/A</v>
      </c>
    </row>
    <row r="188" spans="2:3" x14ac:dyDescent="0.35">
      <c r="B188" t="s">
        <v>59</v>
      </c>
      <c r="C188" t="e">
        <f>VLOOKUP(MergeExpressoes[[#This Row],[VariableNameDentroCSV]],Medidas[#All],1,FALSE)</f>
        <v>#N/A</v>
      </c>
    </row>
    <row r="189" spans="2:3" x14ac:dyDescent="0.35">
      <c r="B189" t="s">
        <v>210</v>
      </c>
      <c r="C189" t="e">
        <f>VLOOKUP(MergeExpressoes[[#This Row],[VariableNameDentroCSV]],Medidas[#All],1,FALSE)</f>
        <v>#N/A</v>
      </c>
    </row>
    <row r="190" spans="2:3" x14ac:dyDescent="0.35">
      <c r="B190" t="s">
        <v>35</v>
      </c>
      <c r="C190" t="e">
        <f>VLOOKUP(MergeExpressoes[[#This Row],[VariableNameDentroCSV]],Medidas[#All],1,FALSE)</f>
        <v>#N/A</v>
      </c>
    </row>
    <row r="191" spans="2:3" x14ac:dyDescent="0.35">
      <c r="B191" t="s">
        <v>32</v>
      </c>
      <c r="C191" t="e">
        <f>VLOOKUP(MergeExpressoes[[#This Row],[VariableNameDentroCSV]],Medidas[#All],1,FALSE)</f>
        <v>#N/A</v>
      </c>
    </row>
    <row r="192" spans="2:3" x14ac:dyDescent="0.35">
      <c r="B192" t="s">
        <v>212</v>
      </c>
      <c r="C192" t="e">
        <f>VLOOKUP(MergeExpressoes[[#This Row],[VariableNameDentroCSV]],Medidas[#All],1,FALSE)</f>
        <v>#N/A</v>
      </c>
    </row>
    <row r="193" spans="2:3" x14ac:dyDescent="0.35">
      <c r="B193" t="s">
        <v>211</v>
      </c>
      <c r="C193" t="e">
        <f>VLOOKUP(MergeExpressoes[[#This Row],[VariableNameDentroCSV]],Medidas[#All],1,FALSE)</f>
        <v>#N/A</v>
      </c>
    </row>
    <row r="194" spans="2:3" x14ac:dyDescent="0.35">
      <c r="B194" t="s">
        <v>208</v>
      </c>
      <c r="C194" t="e">
        <f>VLOOKUP(MergeExpressoes[[#This Row],[VariableNameDentroCSV]],Medidas[#All],1,FALSE)</f>
        <v>#N/A</v>
      </c>
    </row>
    <row r="195" spans="2:3" x14ac:dyDescent="0.35">
      <c r="B195" t="s">
        <v>220</v>
      </c>
      <c r="C195" t="e">
        <f>VLOOKUP(MergeExpressoes[[#This Row],[VariableNameDentroCSV]],Medidas[#All],1,FALSE)</f>
        <v>#N/A</v>
      </c>
    </row>
    <row r="196" spans="2:3" x14ac:dyDescent="0.35">
      <c r="B196" t="s">
        <v>5</v>
      </c>
      <c r="C196" t="e">
        <f>VLOOKUP(MergeExpressoes[[#This Row],[VariableNameDentroCSV]],Medidas[#All],1,FALSE)</f>
        <v>#N/A</v>
      </c>
    </row>
    <row r="197" spans="2:3" x14ac:dyDescent="0.35">
      <c r="B197" t="s">
        <v>23</v>
      </c>
      <c r="C197" t="e">
        <f>VLOOKUP(MergeExpressoes[[#This Row],[VariableNameDentroCSV]],Medidas[#All],1,FALSE)</f>
        <v>#N/A</v>
      </c>
    </row>
    <row r="198" spans="2:3" x14ac:dyDescent="0.35">
      <c r="B198" t="s">
        <v>1</v>
      </c>
      <c r="C198" t="e">
        <f>VLOOKUP(MergeExpressoes[[#This Row],[VariableNameDentroCSV]],Medidas[#All],1,FALSE)</f>
        <v>#N/A</v>
      </c>
    </row>
    <row r="199" spans="2:3" x14ac:dyDescent="0.35">
      <c r="B199" t="s">
        <v>0</v>
      </c>
      <c r="C199" t="e">
        <f>VLOOKUP(MergeExpressoes[[#This Row],[VariableNameDentroCSV]],Medidas[#All],1,FALSE)</f>
        <v>#N/A</v>
      </c>
    </row>
    <row r="200" spans="2:3" x14ac:dyDescent="0.35">
      <c r="B200" t="s">
        <v>25</v>
      </c>
      <c r="C200" t="e">
        <f>VLOOKUP(MergeExpressoes[[#This Row],[VariableNameDentroCSV]],Medidas[#All],1,FALSE)</f>
        <v>#N/A</v>
      </c>
    </row>
    <row r="201" spans="2:3" x14ac:dyDescent="0.35">
      <c r="B201" t="s">
        <v>15</v>
      </c>
      <c r="C201" t="e">
        <f>VLOOKUP(MergeExpressoes[[#This Row],[VariableNameDentroCSV]],Medidas[#All],1,FALSE)</f>
        <v>#N/A</v>
      </c>
    </row>
    <row r="202" spans="2:3" x14ac:dyDescent="0.35">
      <c r="B202" t="s">
        <v>83</v>
      </c>
      <c r="C202" t="e">
        <f>VLOOKUP(MergeExpressoes[[#This Row],[VariableNameDentroCSV]],Medidas[#All],1,FALSE)</f>
        <v>#N/A</v>
      </c>
    </row>
    <row r="203" spans="2:3" x14ac:dyDescent="0.35">
      <c r="B203" t="s">
        <v>40</v>
      </c>
      <c r="C203" t="e">
        <f>VLOOKUP(MergeExpressoes[[#This Row],[VariableNameDentroCSV]],Medidas[#All],1,FALSE)</f>
        <v>#N/A</v>
      </c>
    </row>
    <row r="204" spans="2:3" x14ac:dyDescent="0.35">
      <c r="B204" t="s">
        <v>39</v>
      </c>
      <c r="C204" t="e">
        <f>VLOOKUP(MergeExpressoes[[#This Row],[VariableNameDentroCSV]],Medidas[#All],1,FALSE)</f>
        <v>#N/A</v>
      </c>
    </row>
    <row r="205" spans="2:3" x14ac:dyDescent="0.35">
      <c r="B205" t="s">
        <v>13</v>
      </c>
      <c r="C205" t="e">
        <f>VLOOKUP(MergeExpressoes[[#This Row],[VariableNameDentroCSV]],Medidas[#All],1,FALSE)</f>
        <v>#N/A</v>
      </c>
    </row>
    <row r="206" spans="2:3" x14ac:dyDescent="0.35">
      <c r="B206" t="s">
        <v>34</v>
      </c>
      <c r="C206" t="e">
        <f>VLOOKUP(MergeExpressoes[[#This Row],[VariableNameDentroCSV]],Medidas[#All],1,FALSE)</f>
        <v>#N/A</v>
      </c>
    </row>
    <row r="207" spans="2:3" x14ac:dyDescent="0.35">
      <c r="B207" t="s">
        <v>60</v>
      </c>
      <c r="C207" t="e">
        <f>VLOOKUP(MergeExpressoes[[#This Row],[VariableNameDentroCSV]],Medidas[#All],1,FALSE)</f>
        <v>#N/A</v>
      </c>
    </row>
    <row r="208" spans="2:3" x14ac:dyDescent="0.35">
      <c r="B208" t="s">
        <v>61</v>
      </c>
      <c r="C208" t="e">
        <f>VLOOKUP(MergeExpressoes[[#This Row],[VariableNameDentroCSV]],Medidas[#All],1,FALSE)</f>
        <v>#N/A</v>
      </c>
    </row>
    <row r="209" spans="2:3" x14ac:dyDescent="0.35">
      <c r="B209" t="s">
        <v>139</v>
      </c>
      <c r="C209" t="e">
        <f>VLOOKUP(MergeExpressoes[[#This Row],[VariableNameDentroCSV]],Medidas[#All],1,FALSE)</f>
        <v>#N/A</v>
      </c>
    </row>
    <row r="210" spans="2:3" x14ac:dyDescent="0.35">
      <c r="B210" t="s">
        <v>137</v>
      </c>
      <c r="C210" t="e">
        <f>VLOOKUP(MergeExpressoes[[#This Row],[VariableNameDentroCSV]],Medidas[#All],1,FALSE)</f>
        <v>#N/A</v>
      </c>
    </row>
    <row r="211" spans="2:3" x14ac:dyDescent="0.35">
      <c r="B211" t="s">
        <v>136</v>
      </c>
      <c r="C211" t="e">
        <f>VLOOKUP(MergeExpressoes[[#This Row],[VariableNameDentroCSV]],Medidas[#All],1,FALSE)</f>
        <v>#N/A</v>
      </c>
    </row>
    <row r="212" spans="2:3" x14ac:dyDescent="0.35">
      <c r="B212" t="s">
        <v>195</v>
      </c>
      <c r="C212" t="e">
        <f>VLOOKUP(MergeExpressoes[[#This Row],[VariableNameDentroCSV]],Medidas[#All],1,FALSE)</f>
        <v>#N/A</v>
      </c>
    </row>
    <row r="213" spans="2:3" x14ac:dyDescent="0.35">
      <c r="B213" t="s">
        <v>223</v>
      </c>
      <c r="C213" t="e">
        <f>VLOOKUP(MergeExpressoes[[#This Row],[VariableNameDentroCSV]],Medidas[#All],1,FALSE)</f>
        <v>#N/A</v>
      </c>
    </row>
    <row r="214" spans="2:3" x14ac:dyDescent="0.35">
      <c r="B214" t="s">
        <v>140</v>
      </c>
      <c r="C214" t="e">
        <f>VLOOKUP(MergeExpressoes[[#This Row],[VariableNameDentroCSV]],Medidas[#All],1,FALSE)</f>
        <v>#N/A</v>
      </c>
    </row>
    <row r="215" spans="2:3" x14ac:dyDescent="0.35">
      <c r="B215" t="s">
        <v>138</v>
      </c>
      <c r="C215" t="e">
        <f>VLOOKUP(MergeExpressoes[[#This Row],[VariableNameDentroCSV]],Medidas[#All],1,FALSE)</f>
        <v>#N/A</v>
      </c>
    </row>
    <row r="216" spans="2:3" x14ac:dyDescent="0.35">
      <c r="B216" t="s">
        <v>141</v>
      </c>
      <c r="C216" t="e">
        <f>VLOOKUP(MergeExpressoes[[#This Row],[VariableNameDentroCSV]],Medidas[#All],1,FALSE)</f>
        <v>#N/A</v>
      </c>
    </row>
    <row r="217" spans="2:3" x14ac:dyDescent="0.35">
      <c r="B217" t="s">
        <v>163</v>
      </c>
      <c r="C217" t="e">
        <f>VLOOKUP(MergeExpressoes[[#This Row],[VariableNameDentroCSV]],Medidas[#All],1,FALSE)</f>
        <v>#N/A</v>
      </c>
    </row>
    <row r="218" spans="2:3" x14ac:dyDescent="0.35">
      <c r="B218" t="s">
        <v>161</v>
      </c>
      <c r="C218" t="e">
        <f>VLOOKUP(MergeExpressoes[[#This Row],[VariableNameDentroCSV]],Medidas[#All],1,FALSE)</f>
        <v>#N/A</v>
      </c>
    </row>
    <row r="219" spans="2:3" x14ac:dyDescent="0.35">
      <c r="B219" t="s">
        <v>160</v>
      </c>
      <c r="C219" t="e">
        <f>VLOOKUP(MergeExpressoes[[#This Row],[VariableNameDentroCSV]],Medidas[#All],1,FALSE)</f>
        <v>#N/A</v>
      </c>
    </row>
    <row r="220" spans="2:3" x14ac:dyDescent="0.35">
      <c r="B220" t="s">
        <v>199</v>
      </c>
      <c r="C220" t="e">
        <f>VLOOKUP(MergeExpressoes[[#This Row],[VariableNameDentroCSV]],Medidas[#All],1,FALSE)</f>
        <v>#N/A</v>
      </c>
    </row>
    <row r="221" spans="2:3" x14ac:dyDescent="0.35">
      <c r="B221" t="s">
        <v>227</v>
      </c>
      <c r="C221" t="e">
        <f>VLOOKUP(MergeExpressoes[[#This Row],[VariableNameDentroCSV]],Medidas[#All],1,FALSE)</f>
        <v>#N/A</v>
      </c>
    </row>
    <row r="222" spans="2:3" x14ac:dyDescent="0.35">
      <c r="B222" t="s">
        <v>164</v>
      </c>
      <c r="C222" t="e">
        <f>VLOOKUP(MergeExpressoes[[#This Row],[VariableNameDentroCSV]],Medidas[#All],1,FALSE)</f>
        <v>#N/A</v>
      </c>
    </row>
    <row r="223" spans="2:3" x14ac:dyDescent="0.35">
      <c r="B223" t="s">
        <v>162</v>
      </c>
      <c r="C223" t="e">
        <f>VLOOKUP(MergeExpressoes[[#This Row],[VariableNameDentroCSV]],Medidas[#All],1,FALSE)</f>
        <v>#N/A</v>
      </c>
    </row>
    <row r="224" spans="2:3" x14ac:dyDescent="0.35">
      <c r="B224" t="s">
        <v>165</v>
      </c>
      <c r="C224" t="e">
        <f>VLOOKUP(MergeExpressoes[[#This Row],[VariableNameDentroCSV]],Medidas[#All],1,FALSE)</f>
        <v>#N/A</v>
      </c>
    </row>
    <row r="225" spans="2:3" x14ac:dyDescent="0.35">
      <c r="B225" t="s">
        <v>175</v>
      </c>
      <c r="C225" t="e">
        <f>VLOOKUP(MergeExpressoes[[#This Row],[VariableNameDentroCSV]],Medidas[#All],1,FALSE)</f>
        <v>#N/A</v>
      </c>
    </row>
    <row r="226" spans="2:3" x14ac:dyDescent="0.35">
      <c r="B226" t="s">
        <v>179</v>
      </c>
      <c r="C226" t="e">
        <f>VLOOKUP(MergeExpressoes[[#This Row],[VariableNameDentroCSV]],Medidas[#All],1,FALSE)</f>
        <v>#N/A</v>
      </c>
    </row>
    <row r="227" spans="2:3" x14ac:dyDescent="0.35">
      <c r="B227" t="s">
        <v>203</v>
      </c>
      <c r="C227" t="e">
        <f>VLOOKUP(MergeExpressoes[[#This Row],[VariableNameDentroCSV]],Medidas[#All],1,FALSE)</f>
        <v>#N/A</v>
      </c>
    </row>
    <row r="228" spans="2:3" x14ac:dyDescent="0.35">
      <c r="B228" t="s">
        <v>231</v>
      </c>
      <c r="C228" t="e">
        <f>VLOOKUP(MergeExpressoes[[#This Row],[VariableNameDentroCSV]],Medidas[#All],1,FALSE)</f>
        <v>#N/A</v>
      </c>
    </row>
    <row r="229" spans="2:3" x14ac:dyDescent="0.35">
      <c r="B229" t="s">
        <v>183</v>
      </c>
      <c r="C229" t="e">
        <f>VLOOKUP(MergeExpressoes[[#This Row],[VariableNameDentroCSV]],Medidas[#All],1,FALSE)</f>
        <v>#N/A</v>
      </c>
    </row>
    <row r="230" spans="2:3" x14ac:dyDescent="0.35">
      <c r="B230" t="s">
        <v>187</v>
      </c>
      <c r="C230" t="e">
        <f>VLOOKUP(MergeExpressoes[[#This Row],[VariableNameDentroCSV]],Medidas[#All],1,FALSE)</f>
        <v>#N/A</v>
      </c>
    </row>
    <row r="231" spans="2:3" x14ac:dyDescent="0.35">
      <c r="B231" t="s">
        <v>191</v>
      </c>
      <c r="C231" t="e">
        <f>VLOOKUP(MergeExpressoes[[#This Row],[VariableNameDentroCSV]],Medidas[#All],1,FALSE)</f>
        <v>#N/A</v>
      </c>
    </row>
    <row r="232" spans="2:3" x14ac:dyDescent="0.35">
      <c r="B232" t="s">
        <v>299</v>
      </c>
      <c r="C232" t="e">
        <f>VLOOKUP(MergeExpressoes[[#This Row],[VariableNameDentroCSV]],Medidas[#All],1,FALSE)</f>
        <v>#N/A</v>
      </c>
    </row>
    <row r="233" spans="2:3" x14ac:dyDescent="0.35">
      <c r="B233" t="s">
        <v>300</v>
      </c>
      <c r="C233" t="e">
        <f>VLOOKUP(MergeExpressoes[[#This Row],[VariableNameDentroCSV]],Medidas[#All],1,FALSE)</f>
        <v>#N/A</v>
      </c>
    </row>
    <row r="234" spans="2:3" x14ac:dyDescent="0.35">
      <c r="B234" t="s">
        <v>301</v>
      </c>
      <c r="C234" t="e">
        <f>VLOOKUP(MergeExpressoes[[#This Row],[VariableNameDentroCSV]],Medidas[#All],1,FALSE)</f>
        <v>#N/A</v>
      </c>
    </row>
    <row r="235" spans="2:3" x14ac:dyDescent="0.35">
      <c r="B235" t="s">
        <v>302</v>
      </c>
      <c r="C235" t="e">
        <f>VLOOKUP(MergeExpressoes[[#This Row],[VariableNameDentroCSV]],Medidas[#All],1,FALSE)</f>
        <v>#N/A</v>
      </c>
    </row>
    <row r="236" spans="2:3" x14ac:dyDescent="0.35">
      <c r="B236" t="s">
        <v>303</v>
      </c>
      <c r="C236" t="e">
        <f>VLOOKUP(MergeExpressoes[[#This Row],[VariableNameDentroCSV]],Medidas[#All],1,FALSE)</f>
        <v>#N/A</v>
      </c>
    </row>
    <row r="237" spans="2:3" x14ac:dyDescent="0.35">
      <c r="B237" t="s">
        <v>304</v>
      </c>
      <c r="C237" t="e">
        <f>VLOOKUP(MergeExpressoes[[#This Row],[VariableNameDentroCSV]],Medidas[#All],1,FALSE)</f>
        <v>#N/A</v>
      </c>
    </row>
    <row r="238" spans="2:3" x14ac:dyDescent="0.35">
      <c r="B238" t="s">
        <v>305</v>
      </c>
      <c r="C238" t="e">
        <f>VLOOKUP(MergeExpressoes[[#This Row],[VariableNameDentroCSV]],Medidas[#All],1,FALSE)</f>
        <v>#N/A</v>
      </c>
    </row>
    <row r="239" spans="2:3" x14ac:dyDescent="0.35">
      <c r="B239" t="s">
        <v>306</v>
      </c>
      <c r="C239" t="e">
        <f>VLOOKUP(MergeExpressoes[[#This Row],[VariableNameDentroCSV]],Medidas[#All],1,FALSE)</f>
        <v>#N/A</v>
      </c>
    </row>
    <row r="240" spans="2:3" x14ac:dyDescent="0.35">
      <c r="B240" t="s">
        <v>307</v>
      </c>
      <c r="C240" t="e">
        <f>VLOOKUP(MergeExpressoes[[#This Row],[VariableNameDentroCSV]],Medidas[#All],1,FALSE)</f>
        <v>#N/A</v>
      </c>
    </row>
    <row r="241" spans="2:3" x14ac:dyDescent="0.35">
      <c r="B241" t="s">
        <v>308</v>
      </c>
      <c r="C241" t="e">
        <f>VLOOKUP(MergeExpressoes[[#This Row],[VariableNameDentroCSV]],Medidas[#All],1,FALSE)</f>
        <v>#N/A</v>
      </c>
    </row>
    <row r="242" spans="2:3" x14ac:dyDescent="0.35">
      <c r="B242" t="s">
        <v>309</v>
      </c>
      <c r="C242" t="e">
        <f>VLOOKUP(MergeExpressoes[[#This Row],[VariableNameDentroCSV]],Medidas[#All],1,FALSE)</f>
        <v>#N/A</v>
      </c>
    </row>
    <row r="243" spans="2:3" x14ac:dyDescent="0.35">
      <c r="B243" t="s">
        <v>310</v>
      </c>
      <c r="C243" t="e">
        <f>VLOOKUP(MergeExpressoes[[#This Row],[VariableNameDentroCSV]],Medidas[#All],1,FALSE)</f>
        <v>#N/A</v>
      </c>
    </row>
    <row r="244" spans="2:3" x14ac:dyDescent="0.35">
      <c r="B244" t="s">
        <v>311</v>
      </c>
      <c r="C244" t="e">
        <f>VLOOKUP(MergeExpressoes[[#This Row],[VariableNameDentroCSV]],Medidas[#All],1,FALSE)</f>
        <v>#N/A</v>
      </c>
    </row>
    <row r="245" spans="2:3" x14ac:dyDescent="0.35">
      <c r="B245" t="s">
        <v>312</v>
      </c>
      <c r="C245" t="e">
        <f>VLOOKUP(MergeExpressoes[[#This Row],[VariableNameDentroCSV]],Medidas[#All],1,FALSE)</f>
        <v>#N/A</v>
      </c>
    </row>
    <row r="246" spans="2:3" x14ac:dyDescent="0.35">
      <c r="B246" t="s">
        <v>313</v>
      </c>
      <c r="C246" t="e">
        <f>VLOOKUP(MergeExpressoes[[#This Row],[VariableNameDentroCSV]],Medidas[#All],1,FALSE)</f>
        <v>#N/A</v>
      </c>
    </row>
    <row r="247" spans="2:3" x14ac:dyDescent="0.35">
      <c r="B247" t="s">
        <v>314</v>
      </c>
      <c r="C247" t="e">
        <f>VLOOKUP(MergeExpressoes[[#This Row],[VariableNameDentroCSV]],Medidas[#All],1,FALSE)</f>
        <v>#N/A</v>
      </c>
    </row>
    <row r="248" spans="2:3" x14ac:dyDescent="0.35">
      <c r="B248" t="s">
        <v>315</v>
      </c>
      <c r="C248" t="e">
        <f>VLOOKUP(MergeExpressoes[[#This Row],[VariableNameDentroCSV]],Medidas[#All],1,FALSE)</f>
        <v>#N/A</v>
      </c>
    </row>
    <row r="249" spans="2:3" x14ac:dyDescent="0.35">
      <c r="B249" t="s">
        <v>316</v>
      </c>
      <c r="C249" t="e">
        <f>VLOOKUP(MergeExpressoes[[#This Row],[VariableNameDentroCSV]],Medidas[#All],1,FALSE)</f>
        <v>#N/A</v>
      </c>
    </row>
    <row r="250" spans="2:3" x14ac:dyDescent="0.35">
      <c r="B250" t="s">
        <v>317</v>
      </c>
      <c r="C250" t="e">
        <f>VLOOKUP(MergeExpressoes[[#This Row],[VariableNameDentroCSV]],Medidas[#All],1,FALSE)</f>
        <v>#N/A</v>
      </c>
    </row>
    <row r="251" spans="2:3" x14ac:dyDescent="0.35">
      <c r="B251" t="s">
        <v>318</v>
      </c>
      <c r="C251" t="e">
        <f>VLOOKUP(MergeExpressoes[[#This Row],[VariableNameDentroCSV]],Medidas[#All],1,FALSE)</f>
        <v>#N/A</v>
      </c>
    </row>
    <row r="252" spans="2:3" x14ac:dyDescent="0.35">
      <c r="B252" t="s">
        <v>319</v>
      </c>
      <c r="C252" t="e">
        <f>VLOOKUP(MergeExpressoes[[#This Row],[VariableNameDentroCSV]],Medidas[#All],1,FALSE)</f>
        <v>#N/A</v>
      </c>
    </row>
    <row r="253" spans="2:3" x14ac:dyDescent="0.35">
      <c r="B253" t="s">
        <v>320</v>
      </c>
      <c r="C253" t="e">
        <f>VLOOKUP(MergeExpressoes[[#This Row],[VariableNameDentroCSV]],Medidas[#All],1,FALSE)</f>
        <v>#N/A</v>
      </c>
    </row>
    <row r="254" spans="2:3" x14ac:dyDescent="0.35">
      <c r="B254" t="s">
        <v>321</v>
      </c>
      <c r="C254" t="e">
        <f>VLOOKUP(MergeExpressoes[[#This Row],[VariableNameDentroCSV]],Medidas[#All],1,FALSE)</f>
        <v>#N/A</v>
      </c>
    </row>
    <row r="255" spans="2:3" x14ac:dyDescent="0.35">
      <c r="B255" t="s">
        <v>322</v>
      </c>
      <c r="C255" t="e">
        <f>VLOOKUP(MergeExpressoes[[#This Row],[VariableNameDentroCSV]],Medidas[#All],1,FALSE)</f>
        <v>#N/A</v>
      </c>
    </row>
    <row r="256" spans="2:3" x14ac:dyDescent="0.35">
      <c r="B256" t="s">
        <v>323</v>
      </c>
      <c r="C256" t="e">
        <f>VLOOKUP(MergeExpressoes[[#This Row],[VariableNameDentroCSV]],Medidas[#All],1,FALSE)</f>
        <v>#N/A</v>
      </c>
    </row>
    <row r="257" spans="2:3" x14ac:dyDescent="0.35">
      <c r="B257" t="s">
        <v>324</v>
      </c>
      <c r="C257" t="e">
        <f>VLOOKUP(MergeExpressoes[[#This Row],[VariableNameDentroCSV]],Medidas[#All],1,FALSE)</f>
        <v>#N/A</v>
      </c>
    </row>
    <row r="258" spans="2:3" x14ac:dyDescent="0.35">
      <c r="B258" t="s">
        <v>325</v>
      </c>
      <c r="C258" t="e">
        <f>VLOOKUP(MergeExpressoes[[#This Row],[VariableNameDentroCSV]],Medidas[#All],1,FALSE)</f>
        <v>#N/A</v>
      </c>
    </row>
    <row r="259" spans="2:3" x14ac:dyDescent="0.35">
      <c r="B259" t="s">
        <v>326</v>
      </c>
      <c r="C259" t="e">
        <f>VLOOKUP(MergeExpressoes[[#This Row],[VariableNameDentroCSV]],Medidas[#All],1,FALSE)</f>
        <v>#N/A</v>
      </c>
    </row>
    <row r="260" spans="2:3" x14ac:dyDescent="0.35">
      <c r="B260" t="s">
        <v>327</v>
      </c>
      <c r="C260" t="e">
        <f>VLOOKUP(MergeExpressoes[[#This Row],[VariableNameDentroCSV]],Medidas[#All],1,FALSE)</f>
        <v>#N/A</v>
      </c>
    </row>
    <row r="261" spans="2:3" x14ac:dyDescent="0.35">
      <c r="B261" t="s">
        <v>328</v>
      </c>
      <c r="C261" t="e">
        <f>VLOOKUP(MergeExpressoes[[#This Row],[VariableNameDentroCSV]],Medidas[#All],1,FALSE)</f>
        <v>#N/A</v>
      </c>
    </row>
    <row r="262" spans="2:3" x14ac:dyDescent="0.35">
      <c r="B262" t="s">
        <v>329</v>
      </c>
      <c r="C262" t="e">
        <f>VLOOKUP(MergeExpressoes[[#This Row],[VariableNameDentroCSV]],Medidas[#All],1,FALSE)</f>
        <v>#N/A</v>
      </c>
    </row>
    <row r="263" spans="2:3" x14ac:dyDescent="0.35">
      <c r="B263" t="s">
        <v>330</v>
      </c>
      <c r="C263" t="e">
        <f>VLOOKUP(MergeExpressoes[[#This Row],[VariableNameDentroCSV]],Medidas[#All],1,FALSE)</f>
        <v>#N/A</v>
      </c>
    </row>
    <row r="264" spans="2:3" x14ac:dyDescent="0.35">
      <c r="B264" t="s">
        <v>331</v>
      </c>
      <c r="C264" t="e">
        <f>VLOOKUP(MergeExpressoes[[#This Row],[VariableNameDentroCSV]],Medidas[#All],1,FALSE)</f>
        <v>#N/A</v>
      </c>
    </row>
    <row r="265" spans="2:3" x14ac:dyDescent="0.35">
      <c r="B265" t="s">
        <v>332</v>
      </c>
      <c r="C265" t="e">
        <f>VLOOKUP(MergeExpressoes[[#This Row],[VariableNameDentroCSV]],Medidas[#All],1,FALSE)</f>
        <v>#N/A</v>
      </c>
    </row>
    <row r="266" spans="2:3" x14ac:dyDescent="0.35">
      <c r="B266" t="s">
        <v>333</v>
      </c>
      <c r="C266" t="e">
        <f>VLOOKUP(MergeExpressoes[[#This Row],[VariableNameDentroCSV]],Medidas[#All],1,FALSE)</f>
        <v>#N/A</v>
      </c>
    </row>
    <row r="267" spans="2:3" x14ac:dyDescent="0.35">
      <c r="B267" t="s">
        <v>334</v>
      </c>
      <c r="C267" t="e">
        <f>VLOOKUP(MergeExpressoes[[#This Row],[VariableNameDentroCSV]],Medidas[#All],1,FALSE)</f>
        <v>#N/A</v>
      </c>
    </row>
    <row r="268" spans="2:3" x14ac:dyDescent="0.35">
      <c r="B268" t="s">
        <v>335</v>
      </c>
      <c r="C268" t="e">
        <f>VLOOKUP(MergeExpressoes[[#This Row],[VariableNameDentroCSV]],Medidas[#All],1,FALSE)</f>
        <v>#N/A</v>
      </c>
    </row>
    <row r="269" spans="2:3" x14ac:dyDescent="0.35">
      <c r="B269" t="s">
        <v>336</v>
      </c>
      <c r="C269" t="e">
        <f>VLOOKUP(MergeExpressoes[[#This Row],[VariableNameDentroCSV]],Medidas[#All],1,FALSE)</f>
        <v>#N/A</v>
      </c>
    </row>
    <row r="270" spans="2:3" x14ac:dyDescent="0.35">
      <c r="B270" t="s">
        <v>337</v>
      </c>
      <c r="C270" t="e">
        <f>VLOOKUP(MergeExpressoes[[#This Row],[VariableNameDentroCSV]],Medidas[#All],1,FALSE)</f>
        <v>#N/A</v>
      </c>
    </row>
    <row r="271" spans="2:3" x14ac:dyDescent="0.35">
      <c r="B271" t="s">
        <v>338</v>
      </c>
      <c r="C271" t="e">
        <f>VLOOKUP(MergeExpressoes[[#This Row],[VariableNameDentroCSV]],Medidas[#All],1,FALSE)</f>
        <v>#N/A</v>
      </c>
    </row>
    <row r="272" spans="2:3" x14ac:dyDescent="0.35">
      <c r="B272" t="s">
        <v>339</v>
      </c>
      <c r="C272" t="e">
        <f>VLOOKUP(MergeExpressoes[[#This Row],[VariableNameDentroCSV]],Medidas[#All],1,FALSE)</f>
        <v>#N/A</v>
      </c>
    </row>
    <row r="273" spans="2:3" x14ac:dyDescent="0.35">
      <c r="B273" t="s">
        <v>340</v>
      </c>
      <c r="C273" t="e">
        <f>VLOOKUP(MergeExpressoes[[#This Row],[VariableNameDentroCSV]],Medidas[#All],1,FALSE)</f>
        <v>#N/A</v>
      </c>
    </row>
    <row r="274" spans="2:3" x14ac:dyDescent="0.35">
      <c r="B274" t="s">
        <v>341</v>
      </c>
      <c r="C274" t="e">
        <f>VLOOKUP(MergeExpressoes[[#This Row],[VariableNameDentroCSV]],Medidas[#All],1,FALSE)</f>
        <v>#N/A</v>
      </c>
    </row>
    <row r="275" spans="2:3" x14ac:dyDescent="0.35">
      <c r="B275" t="s">
        <v>342</v>
      </c>
      <c r="C275" t="e">
        <f>VLOOKUP(MergeExpressoes[[#This Row],[VariableNameDentroCSV]],Medidas[#All],1,FALSE)</f>
        <v>#N/A</v>
      </c>
    </row>
    <row r="276" spans="2:3" x14ac:dyDescent="0.35">
      <c r="B276" t="s">
        <v>343</v>
      </c>
      <c r="C276" t="e">
        <f>VLOOKUP(MergeExpressoes[[#This Row],[VariableNameDentroCSV]],Medidas[#All],1,FALSE)</f>
        <v>#N/A</v>
      </c>
    </row>
    <row r="277" spans="2:3" x14ac:dyDescent="0.35">
      <c r="B277" t="s">
        <v>344</v>
      </c>
      <c r="C277" t="e">
        <f>VLOOKUP(MergeExpressoes[[#This Row],[VariableNameDentroCSV]],Medidas[#All],1,FALSE)</f>
        <v>#N/A</v>
      </c>
    </row>
    <row r="278" spans="2:3" x14ac:dyDescent="0.35">
      <c r="B278" t="s">
        <v>345</v>
      </c>
      <c r="C278" t="e">
        <f>VLOOKUP(MergeExpressoes[[#This Row],[VariableNameDentroCSV]],Medidas[#All],1,FALSE)</f>
        <v>#N/A</v>
      </c>
    </row>
    <row r="279" spans="2:3" x14ac:dyDescent="0.35">
      <c r="B279" t="s">
        <v>346</v>
      </c>
      <c r="C279" t="e">
        <f>VLOOKUP(MergeExpressoes[[#This Row],[VariableNameDentroCSV]],Medidas[#All],1,FALSE)</f>
        <v>#N/A</v>
      </c>
    </row>
    <row r="280" spans="2:3" x14ac:dyDescent="0.35">
      <c r="B280" t="s">
        <v>347</v>
      </c>
      <c r="C280" t="e">
        <f>VLOOKUP(MergeExpressoes[[#This Row],[VariableNameDentroCSV]],Medidas[#All],1,FALSE)</f>
        <v>#N/A</v>
      </c>
    </row>
    <row r="281" spans="2:3" x14ac:dyDescent="0.35">
      <c r="B281" t="s">
        <v>348</v>
      </c>
      <c r="C281" t="e">
        <f>VLOOKUP(MergeExpressoes[[#This Row],[VariableNameDentroCSV]],Medidas[#All],1,FALSE)</f>
        <v>#N/A</v>
      </c>
    </row>
    <row r="282" spans="2:3" x14ac:dyDescent="0.35">
      <c r="B282" t="s">
        <v>349</v>
      </c>
      <c r="C282" t="e">
        <f>VLOOKUP(MergeExpressoes[[#This Row],[VariableNameDentroCSV]],Medidas[#All],1,FALSE)</f>
        <v>#N/A</v>
      </c>
    </row>
    <row r="283" spans="2:3" x14ac:dyDescent="0.35">
      <c r="B283" t="s">
        <v>350</v>
      </c>
      <c r="C283" t="e">
        <f>VLOOKUP(MergeExpressoes[[#This Row],[VariableNameDentroCSV]],Medidas[#All],1,FALSE)</f>
        <v>#N/A</v>
      </c>
    </row>
    <row r="284" spans="2:3" x14ac:dyDescent="0.35">
      <c r="B284" t="s">
        <v>351</v>
      </c>
      <c r="C284" t="e">
        <f>VLOOKUP(MergeExpressoes[[#This Row],[VariableNameDentroCSV]],Medidas[#All],1,FALSE)</f>
        <v>#N/A</v>
      </c>
    </row>
    <row r="285" spans="2:3" x14ac:dyDescent="0.35">
      <c r="B285" t="s">
        <v>352</v>
      </c>
      <c r="C285" t="e">
        <f>VLOOKUP(MergeExpressoes[[#This Row],[VariableNameDentroCSV]],Medidas[#All],1,FALSE)</f>
        <v>#N/A</v>
      </c>
    </row>
    <row r="286" spans="2:3" x14ac:dyDescent="0.35">
      <c r="B286" t="s">
        <v>353</v>
      </c>
      <c r="C286" t="e">
        <f>VLOOKUP(MergeExpressoes[[#This Row],[VariableNameDentroCSV]],Medidas[#All],1,FALSE)</f>
        <v>#N/A</v>
      </c>
    </row>
    <row r="287" spans="2:3" x14ac:dyDescent="0.35">
      <c r="B287" t="s">
        <v>354</v>
      </c>
      <c r="C287" t="e">
        <f>VLOOKUP(MergeExpressoes[[#This Row],[VariableNameDentroCSV]],Medidas[#All],1,FALSE)</f>
        <v>#N/A</v>
      </c>
    </row>
    <row r="288" spans="2:3" x14ac:dyDescent="0.35">
      <c r="B288" t="s">
        <v>355</v>
      </c>
      <c r="C288" t="e">
        <f>VLOOKUP(MergeExpressoes[[#This Row],[VariableNameDentroCSV]],Medidas[#All],1,FALSE)</f>
        <v>#N/A</v>
      </c>
    </row>
    <row r="289" spans="2:3" x14ac:dyDescent="0.35">
      <c r="B289" t="s">
        <v>356</v>
      </c>
      <c r="C289" t="e">
        <f>VLOOKUP(MergeExpressoes[[#This Row],[VariableNameDentroCSV]],Medidas[#All],1,FALSE)</f>
        <v>#N/A</v>
      </c>
    </row>
    <row r="290" spans="2:3" x14ac:dyDescent="0.35">
      <c r="B290" t="s">
        <v>357</v>
      </c>
      <c r="C290" t="e">
        <f>VLOOKUP(MergeExpressoes[[#This Row],[VariableNameDentroCSV]],Medidas[#All],1,FALSE)</f>
        <v>#N/A</v>
      </c>
    </row>
    <row r="291" spans="2:3" x14ac:dyDescent="0.35">
      <c r="B291" t="s">
        <v>358</v>
      </c>
      <c r="C291" t="e">
        <f>VLOOKUP(MergeExpressoes[[#This Row],[VariableNameDentroCSV]],Medidas[#All],1,FALSE)</f>
        <v>#N/A</v>
      </c>
    </row>
    <row r="292" spans="2:3" x14ac:dyDescent="0.35">
      <c r="B292" t="s">
        <v>359</v>
      </c>
      <c r="C292" t="e">
        <f>VLOOKUP(MergeExpressoes[[#This Row],[VariableNameDentroCSV]],Medidas[#All],1,FALSE)</f>
        <v>#N/A</v>
      </c>
    </row>
    <row r="293" spans="2:3" x14ac:dyDescent="0.35">
      <c r="B293" t="s">
        <v>360</v>
      </c>
      <c r="C293" t="e">
        <f>VLOOKUP(MergeExpressoes[[#This Row],[VariableNameDentroCSV]],Medidas[#All],1,FALSE)</f>
        <v>#N/A</v>
      </c>
    </row>
    <row r="294" spans="2:3" x14ac:dyDescent="0.35">
      <c r="B294" t="s">
        <v>361</v>
      </c>
      <c r="C294" t="e">
        <f>VLOOKUP(MergeExpressoes[[#This Row],[VariableNameDentroCSV]],Medidas[#All],1,FALSE)</f>
        <v>#N/A</v>
      </c>
    </row>
    <row r="295" spans="2:3" x14ac:dyDescent="0.35">
      <c r="B295" t="s">
        <v>362</v>
      </c>
      <c r="C295" t="e">
        <f>VLOOKUP(MergeExpressoes[[#This Row],[VariableNameDentroCSV]],Medidas[#All],1,FALSE)</f>
        <v>#N/A</v>
      </c>
    </row>
    <row r="296" spans="2:3" x14ac:dyDescent="0.35">
      <c r="B296" t="s">
        <v>363</v>
      </c>
      <c r="C296" t="e">
        <f>VLOOKUP(MergeExpressoes[[#This Row],[VariableNameDentroCSV]],Medidas[#All],1,FALSE)</f>
        <v>#N/A</v>
      </c>
    </row>
    <row r="297" spans="2:3" x14ac:dyDescent="0.35">
      <c r="B297" t="s">
        <v>364</v>
      </c>
      <c r="C297" t="e">
        <f>VLOOKUP(MergeExpressoes[[#This Row],[VariableNameDentroCSV]],Medidas[#All],1,FALSE)</f>
        <v>#N/A</v>
      </c>
    </row>
    <row r="298" spans="2:3" x14ac:dyDescent="0.35">
      <c r="B298" t="s">
        <v>365</v>
      </c>
      <c r="C298" t="e">
        <f>VLOOKUP(MergeExpressoes[[#This Row],[VariableNameDentroCSV]],Medidas[#All],1,FALSE)</f>
        <v>#N/A</v>
      </c>
    </row>
    <row r="299" spans="2:3" x14ac:dyDescent="0.35">
      <c r="B299" t="s">
        <v>366</v>
      </c>
      <c r="C299" t="e">
        <f>VLOOKUP(MergeExpressoes[[#This Row],[VariableNameDentroCSV]],Medidas[#All],1,FALSE)</f>
        <v>#N/A</v>
      </c>
    </row>
    <row r="300" spans="2:3" x14ac:dyDescent="0.35">
      <c r="B300" t="s">
        <v>367</v>
      </c>
      <c r="C300" t="e">
        <f>VLOOKUP(MergeExpressoes[[#This Row],[VariableNameDentroCSV]],Medidas[#All],1,FALSE)</f>
        <v>#N/A</v>
      </c>
    </row>
    <row r="301" spans="2:3" x14ac:dyDescent="0.35">
      <c r="B301" t="s">
        <v>368</v>
      </c>
      <c r="C301" t="e">
        <f>VLOOKUP(MergeExpressoes[[#This Row],[VariableNameDentroCSV]],Medidas[#All],1,FALSE)</f>
        <v>#N/A</v>
      </c>
    </row>
    <row r="302" spans="2:3" x14ac:dyDescent="0.35">
      <c r="B302" t="s">
        <v>369</v>
      </c>
      <c r="C302" t="e">
        <f>VLOOKUP(MergeExpressoes[[#This Row],[VariableNameDentroCSV]],Medidas[#All],1,FALSE)</f>
        <v>#N/A</v>
      </c>
    </row>
    <row r="303" spans="2:3" x14ac:dyDescent="0.35">
      <c r="B303" t="s">
        <v>370</v>
      </c>
      <c r="C303" t="e">
        <f>VLOOKUP(MergeExpressoes[[#This Row],[VariableNameDentroCSV]],Medidas[#All],1,FALSE)</f>
        <v>#N/A</v>
      </c>
    </row>
    <row r="304" spans="2:3" x14ac:dyDescent="0.35">
      <c r="B304" t="s">
        <v>371</v>
      </c>
      <c r="C304" t="e">
        <f>VLOOKUP(MergeExpressoes[[#This Row],[VariableNameDentroCSV]],Medidas[#All],1,FALSE)</f>
        <v>#N/A</v>
      </c>
    </row>
    <row r="305" spans="2:3" x14ac:dyDescent="0.35">
      <c r="B305" t="s">
        <v>372</v>
      </c>
      <c r="C305" t="e">
        <f>VLOOKUP(MergeExpressoes[[#This Row],[VariableNameDentroCSV]],Medidas[#All],1,FALSE)</f>
        <v>#N/A</v>
      </c>
    </row>
    <row r="306" spans="2:3" x14ac:dyDescent="0.35">
      <c r="B306" t="s">
        <v>373</v>
      </c>
      <c r="C306" t="e">
        <f>VLOOKUP(MergeExpressoes[[#This Row],[VariableNameDentroCSV]],Medidas[#All],1,FALSE)</f>
        <v>#N/A</v>
      </c>
    </row>
    <row r="307" spans="2:3" x14ac:dyDescent="0.35">
      <c r="B307" t="s">
        <v>374</v>
      </c>
      <c r="C307" t="e">
        <f>VLOOKUP(MergeExpressoes[[#This Row],[VariableNameDentroCSV]],Medidas[#All],1,FALSE)</f>
        <v>#N/A</v>
      </c>
    </row>
    <row r="308" spans="2:3" x14ac:dyDescent="0.35">
      <c r="B308" t="s">
        <v>375</v>
      </c>
      <c r="C308" t="e">
        <f>VLOOKUP(MergeExpressoes[[#This Row],[VariableNameDentroCSV]],Medidas[#All],1,FALSE)</f>
        <v>#N/A</v>
      </c>
    </row>
    <row r="309" spans="2:3" x14ac:dyDescent="0.35">
      <c r="B309" t="s">
        <v>376</v>
      </c>
      <c r="C309" t="e">
        <f>VLOOKUP(MergeExpressoes[[#This Row],[VariableNameDentroCSV]],Medidas[#All],1,FALSE)</f>
        <v>#N/A</v>
      </c>
    </row>
    <row r="310" spans="2:3" x14ac:dyDescent="0.35">
      <c r="B310" t="s">
        <v>377</v>
      </c>
      <c r="C310" t="e">
        <f>VLOOKUP(MergeExpressoes[[#This Row],[VariableNameDentroCSV]],Medidas[#All],1,FALSE)</f>
        <v>#N/A</v>
      </c>
    </row>
    <row r="311" spans="2:3" x14ac:dyDescent="0.35">
      <c r="B311" t="s">
        <v>378</v>
      </c>
      <c r="C311" t="e">
        <f>VLOOKUP(MergeExpressoes[[#This Row],[VariableNameDentroCSV]],Medidas[#All],1,FALSE)</f>
        <v>#N/A</v>
      </c>
    </row>
    <row r="312" spans="2:3" x14ac:dyDescent="0.35">
      <c r="B312" t="s">
        <v>379</v>
      </c>
      <c r="C312" t="e">
        <f>VLOOKUP(MergeExpressoes[[#This Row],[VariableNameDentroCSV]],Medidas[#All],1,FALSE)</f>
        <v>#N/A</v>
      </c>
    </row>
    <row r="313" spans="2:3" x14ac:dyDescent="0.35">
      <c r="B313" t="s">
        <v>380</v>
      </c>
      <c r="C313" t="e">
        <f>VLOOKUP(MergeExpressoes[[#This Row],[VariableNameDentroCSV]],Medidas[#All],1,FALSE)</f>
        <v>#N/A</v>
      </c>
    </row>
    <row r="314" spans="2:3" x14ac:dyDescent="0.35">
      <c r="B314" t="s">
        <v>381</v>
      </c>
      <c r="C314" t="e">
        <f>VLOOKUP(MergeExpressoes[[#This Row],[VariableNameDentroCSV]],Medidas[#All],1,FALSE)</f>
        <v>#N/A</v>
      </c>
    </row>
    <row r="315" spans="2:3" x14ac:dyDescent="0.35">
      <c r="B315" t="s">
        <v>382</v>
      </c>
      <c r="C315" t="e">
        <f>VLOOKUP(MergeExpressoes[[#This Row],[VariableNameDentroCSV]],Medidas[#All],1,FALSE)</f>
        <v>#N/A</v>
      </c>
    </row>
    <row r="316" spans="2:3" x14ac:dyDescent="0.35">
      <c r="B316" t="s">
        <v>383</v>
      </c>
      <c r="C316" t="e">
        <f>VLOOKUP(MergeExpressoes[[#This Row],[VariableNameDentroCSV]],Medidas[#All],1,FALSE)</f>
        <v>#N/A</v>
      </c>
    </row>
    <row r="317" spans="2:3" x14ac:dyDescent="0.35">
      <c r="B317" t="s">
        <v>384</v>
      </c>
      <c r="C317" t="e">
        <f>VLOOKUP(MergeExpressoes[[#This Row],[VariableNameDentroCSV]],Medidas[#All],1,FALSE)</f>
        <v>#N/A</v>
      </c>
    </row>
    <row r="318" spans="2:3" x14ac:dyDescent="0.35">
      <c r="B318" t="s">
        <v>385</v>
      </c>
      <c r="C318" t="e">
        <f>VLOOKUP(MergeExpressoes[[#This Row],[VariableNameDentroCSV]],Medidas[#All],1,FALSE)</f>
        <v>#N/A</v>
      </c>
    </row>
    <row r="319" spans="2:3" x14ac:dyDescent="0.35">
      <c r="B319" t="s">
        <v>386</v>
      </c>
      <c r="C319" t="e">
        <f>VLOOKUP(MergeExpressoes[[#This Row],[VariableNameDentroCSV]],Medidas[#All],1,FALSE)</f>
        <v>#N/A</v>
      </c>
    </row>
    <row r="320" spans="2:3" x14ac:dyDescent="0.35">
      <c r="B320" t="s">
        <v>387</v>
      </c>
      <c r="C320" t="e">
        <f>VLOOKUP(MergeExpressoes[[#This Row],[VariableNameDentroCSV]],Medidas[#All],1,FALSE)</f>
        <v>#N/A</v>
      </c>
    </row>
    <row r="321" spans="2:3" x14ac:dyDescent="0.35">
      <c r="B321" t="s">
        <v>388</v>
      </c>
      <c r="C321" t="e">
        <f>VLOOKUP(MergeExpressoes[[#This Row],[VariableNameDentroCSV]],Medidas[#All],1,FALSE)</f>
        <v>#N/A</v>
      </c>
    </row>
    <row r="322" spans="2:3" x14ac:dyDescent="0.35">
      <c r="B322" t="s">
        <v>389</v>
      </c>
      <c r="C322" t="e">
        <f>VLOOKUP(MergeExpressoes[[#This Row],[VariableNameDentroCSV]],Medidas[#All],1,FALSE)</f>
        <v>#N/A</v>
      </c>
    </row>
    <row r="323" spans="2:3" x14ac:dyDescent="0.35">
      <c r="B323" t="s">
        <v>390</v>
      </c>
      <c r="C323" t="e">
        <f>VLOOKUP(MergeExpressoes[[#This Row],[VariableNameDentroCSV]],Medidas[#All],1,FALSE)</f>
        <v>#N/A</v>
      </c>
    </row>
    <row r="324" spans="2:3" x14ac:dyDescent="0.35">
      <c r="B324" t="s">
        <v>391</v>
      </c>
      <c r="C324" t="e">
        <f>VLOOKUP(MergeExpressoes[[#This Row],[VariableNameDentroCSV]],Medidas[#All],1,FALSE)</f>
        <v>#N/A</v>
      </c>
    </row>
    <row r="325" spans="2:3" x14ac:dyDescent="0.35">
      <c r="B325" t="s">
        <v>392</v>
      </c>
      <c r="C325" t="e">
        <f>VLOOKUP(MergeExpressoes[[#This Row],[VariableNameDentroCSV]],Medidas[#All],1,FALSE)</f>
        <v>#N/A</v>
      </c>
    </row>
    <row r="326" spans="2:3" x14ac:dyDescent="0.35">
      <c r="B326" t="s">
        <v>393</v>
      </c>
      <c r="C326" t="e">
        <f>VLOOKUP(MergeExpressoes[[#This Row],[VariableNameDentroCSV]],Medidas[#All],1,FALSE)</f>
        <v>#N/A</v>
      </c>
    </row>
    <row r="327" spans="2:3" x14ac:dyDescent="0.35">
      <c r="B327" t="s">
        <v>394</v>
      </c>
      <c r="C327" t="e">
        <f>VLOOKUP(MergeExpressoes[[#This Row],[VariableNameDentroCSV]],Medidas[#All],1,FALSE)</f>
        <v>#N/A</v>
      </c>
    </row>
    <row r="328" spans="2:3" x14ac:dyDescent="0.35">
      <c r="B328" t="s">
        <v>395</v>
      </c>
      <c r="C328" t="e">
        <f>VLOOKUP(MergeExpressoes[[#This Row],[VariableNameDentroCSV]],Medidas[#All],1,FALSE)</f>
        <v>#N/A</v>
      </c>
    </row>
    <row r="329" spans="2:3" x14ac:dyDescent="0.35">
      <c r="B329" t="s">
        <v>396</v>
      </c>
      <c r="C329" t="e">
        <f>VLOOKUP(MergeExpressoes[[#This Row],[VariableNameDentroCSV]],Medidas[#All],1,FALSE)</f>
        <v>#N/A</v>
      </c>
    </row>
    <row r="330" spans="2:3" x14ac:dyDescent="0.35">
      <c r="B330" t="s">
        <v>397</v>
      </c>
      <c r="C330" t="e">
        <f>VLOOKUP(MergeExpressoes[[#This Row],[VariableNameDentroCSV]],Medidas[#All],1,FALSE)</f>
        <v>#N/A</v>
      </c>
    </row>
    <row r="331" spans="2:3" x14ac:dyDescent="0.35">
      <c r="B331" t="s">
        <v>398</v>
      </c>
      <c r="C331" t="e">
        <f>VLOOKUP(MergeExpressoes[[#This Row],[VariableNameDentroCSV]],Medidas[#All],1,FALSE)</f>
        <v>#N/A</v>
      </c>
    </row>
    <row r="332" spans="2:3" x14ac:dyDescent="0.35">
      <c r="B332" t="s">
        <v>399</v>
      </c>
      <c r="C332" t="e">
        <f>VLOOKUP(MergeExpressoes[[#This Row],[VariableNameDentroCSV]],Medidas[#All],1,FALSE)</f>
        <v>#N/A</v>
      </c>
    </row>
    <row r="333" spans="2:3" x14ac:dyDescent="0.35">
      <c r="B333" t="s">
        <v>400</v>
      </c>
      <c r="C333" t="e">
        <f>VLOOKUP(MergeExpressoes[[#This Row],[VariableNameDentroCSV]],Medidas[#All],1,FALSE)</f>
        <v>#N/A</v>
      </c>
    </row>
    <row r="334" spans="2:3" x14ac:dyDescent="0.35">
      <c r="B334" t="s">
        <v>401</v>
      </c>
      <c r="C334" t="e">
        <f>VLOOKUP(MergeExpressoes[[#This Row],[VariableNameDentroCSV]],Medidas[#All],1,FALSE)</f>
        <v>#N/A</v>
      </c>
    </row>
    <row r="335" spans="2:3" x14ac:dyDescent="0.35">
      <c r="B335" t="s">
        <v>402</v>
      </c>
      <c r="C335" t="e">
        <f>VLOOKUP(MergeExpressoes[[#This Row],[VariableNameDentroCSV]],Medidas[#All],1,FALSE)</f>
        <v>#N/A</v>
      </c>
    </row>
    <row r="336" spans="2:3" x14ac:dyDescent="0.35">
      <c r="B336" t="s">
        <v>403</v>
      </c>
      <c r="C336" t="e">
        <f>VLOOKUP(MergeExpressoes[[#This Row],[VariableNameDentroCSV]],Medidas[#All],1,FALSE)</f>
        <v>#N/A</v>
      </c>
    </row>
    <row r="337" spans="2:3" x14ac:dyDescent="0.35">
      <c r="B337" t="s">
        <v>404</v>
      </c>
      <c r="C337" t="e">
        <f>VLOOKUP(MergeExpressoes[[#This Row],[VariableNameDentroCSV]],Medidas[#All],1,FALSE)</f>
        <v>#N/A</v>
      </c>
    </row>
    <row r="338" spans="2:3" x14ac:dyDescent="0.35">
      <c r="B338" t="s">
        <v>405</v>
      </c>
      <c r="C338" t="e">
        <f>VLOOKUP(MergeExpressoes[[#This Row],[VariableNameDentroCSV]],Medidas[#All],1,FALSE)</f>
        <v>#N/A</v>
      </c>
    </row>
    <row r="339" spans="2:3" x14ac:dyDescent="0.35">
      <c r="B339" t="s">
        <v>406</v>
      </c>
      <c r="C339" t="e">
        <f>VLOOKUP(MergeExpressoes[[#This Row],[VariableNameDentroCSV]],Medidas[#All],1,FALSE)</f>
        <v>#N/A</v>
      </c>
    </row>
    <row r="340" spans="2:3" x14ac:dyDescent="0.35">
      <c r="B340" t="s">
        <v>407</v>
      </c>
      <c r="C340" t="e">
        <f>VLOOKUP(MergeExpressoes[[#This Row],[VariableNameDentroCSV]],Medidas[#All],1,FALSE)</f>
        <v>#N/A</v>
      </c>
    </row>
    <row r="341" spans="2:3" x14ac:dyDescent="0.35">
      <c r="B341" t="s">
        <v>408</v>
      </c>
      <c r="C341" t="e">
        <f>VLOOKUP(MergeExpressoes[[#This Row],[VariableNameDentroCSV]],Medidas[#All],1,FALSE)</f>
        <v>#N/A</v>
      </c>
    </row>
    <row r="342" spans="2:3" x14ac:dyDescent="0.35">
      <c r="B342" t="s">
        <v>409</v>
      </c>
      <c r="C342" t="e">
        <f>VLOOKUP(MergeExpressoes[[#This Row],[VariableNameDentroCSV]],Medidas[#All],1,FALSE)</f>
        <v>#N/A</v>
      </c>
    </row>
    <row r="343" spans="2:3" x14ac:dyDescent="0.35">
      <c r="B343" t="s">
        <v>410</v>
      </c>
      <c r="C343" t="e">
        <f>VLOOKUP(MergeExpressoes[[#This Row],[VariableNameDentroCSV]],Medidas[#All],1,FALSE)</f>
        <v>#N/A</v>
      </c>
    </row>
    <row r="344" spans="2:3" x14ac:dyDescent="0.35">
      <c r="B344" t="s">
        <v>411</v>
      </c>
      <c r="C344" t="e">
        <f>VLOOKUP(MergeExpressoes[[#This Row],[VariableNameDentroCSV]],Medidas[#All],1,FALSE)</f>
        <v>#N/A</v>
      </c>
    </row>
    <row r="345" spans="2:3" x14ac:dyDescent="0.35">
      <c r="B345" t="s">
        <v>412</v>
      </c>
      <c r="C345" t="e">
        <f>VLOOKUP(MergeExpressoes[[#This Row],[VariableNameDentroCSV]],Medidas[#All],1,FALSE)</f>
        <v>#N/A</v>
      </c>
    </row>
    <row r="346" spans="2:3" x14ac:dyDescent="0.35">
      <c r="B346" t="s">
        <v>413</v>
      </c>
      <c r="C346" t="e">
        <f>VLOOKUP(MergeExpressoes[[#This Row],[VariableNameDentroCSV]],Medidas[#All],1,FALSE)</f>
        <v>#N/A</v>
      </c>
    </row>
    <row r="347" spans="2:3" x14ac:dyDescent="0.35">
      <c r="B347" t="s">
        <v>414</v>
      </c>
      <c r="C347" t="e">
        <f>VLOOKUP(MergeExpressoes[[#This Row],[VariableNameDentroCSV]],Medidas[#All],1,FALSE)</f>
        <v>#N/A</v>
      </c>
    </row>
    <row r="348" spans="2:3" x14ac:dyDescent="0.35">
      <c r="B348" t="s">
        <v>415</v>
      </c>
      <c r="C348" t="e">
        <f>VLOOKUP(MergeExpressoes[[#This Row],[VariableNameDentroCSV]],Medidas[#All],1,FALSE)</f>
        <v>#N/A</v>
      </c>
    </row>
    <row r="349" spans="2:3" x14ac:dyDescent="0.35">
      <c r="B349" t="s">
        <v>416</v>
      </c>
      <c r="C349" t="e">
        <f>VLOOKUP(MergeExpressoes[[#This Row],[VariableNameDentroCSV]],Medidas[#All],1,FALSE)</f>
        <v>#N/A</v>
      </c>
    </row>
    <row r="350" spans="2:3" x14ac:dyDescent="0.35">
      <c r="B350" t="s">
        <v>417</v>
      </c>
      <c r="C350" t="e">
        <f>VLOOKUP(MergeExpressoes[[#This Row],[VariableNameDentroCSV]],Medidas[#All],1,FALSE)</f>
        <v>#N/A</v>
      </c>
    </row>
    <row r="351" spans="2:3" x14ac:dyDescent="0.35">
      <c r="B351" t="s">
        <v>418</v>
      </c>
      <c r="C351" t="e">
        <f>VLOOKUP(MergeExpressoes[[#This Row],[VariableNameDentroCSV]],Medidas[#All],1,FALSE)</f>
        <v>#N/A</v>
      </c>
    </row>
    <row r="352" spans="2:3" x14ac:dyDescent="0.35">
      <c r="B352" t="s">
        <v>419</v>
      </c>
      <c r="C352" t="e">
        <f>VLOOKUP(MergeExpressoes[[#This Row],[VariableNameDentroCSV]],Medidas[#All],1,FALSE)</f>
        <v>#N/A</v>
      </c>
    </row>
    <row r="353" spans="2:3" x14ac:dyDescent="0.35">
      <c r="B353" t="s">
        <v>420</v>
      </c>
      <c r="C353" t="e">
        <f>VLOOKUP(MergeExpressoes[[#This Row],[VariableNameDentroCSV]],Medidas[#All],1,FALSE)</f>
        <v>#N/A</v>
      </c>
    </row>
    <row r="354" spans="2:3" x14ac:dyDescent="0.35">
      <c r="B354" t="s">
        <v>421</v>
      </c>
      <c r="C354" t="e">
        <f>VLOOKUP(MergeExpressoes[[#This Row],[VariableNameDentroCSV]],Medidas[#All],1,FALSE)</f>
        <v>#N/A</v>
      </c>
    </row>
    <row r="355" spans="2:3" x14ac:dyDescent="0.35">
      <c r="B355" t="s">
        <v>422</v>
      </c>
      <c r="C355" t="e">
        <f>VLOOKUP(MergeExpressoes[[#This Row],[VariableNameDentroCSV]],Medidas[#All],1,FALSE)</f>
        <v>#N/A</v>
      </c>
    </row>
    <row r="356" spans="2:3" x14ac:dyDescent="0.35">
      <c r="B356" t="s">
        <v>423</v>
      </c>
      <c r="C356" t="e">
        <f>VLOOKUP(MergeExpressoes[[#This Row],[VariableNameDentroCSV]],Medidas[#All],1,FALSE)</f>
        <v>#N/A</v>
      </c>
    </row>
    <row r="357" spans="2:3" x14ac:dyDescent="0.35">
      <c r="B357" t="s">
        <v>424</v>
      </c>
      <c r="C357" t="e">
        <f>VLOOKUP(MergeExpressoes[[#This Row],[VariableNameDentroCSV]],Medidas[#All],1,FALSE)</f>
        <v>#N/A</v>
      </c>
    </row>
    <row r="358" spans="2:3" x14ac:dyDescent="0.35">
      <c r="B358" t="s">
        <v>425</v>
      </c>
      <c r="C358" t="e">
        <f>VLOOKUP(MergeExpressoes[[#This Row],[VariableNameDentroCSV]],Medidas[#All],1,FALSE)</f>
        <v>#N/A</v>
      </c>
    </row>
    <row r="359" spans="2:3" x14ac:dyDescent="0.35">
      <c r="B359" t="s">
        <v>426</v>
      </c>
      <c r="C359" t="e">
        <f>VLOOKUP(MergeExpressoes[[#This Row],[VariableNameDentroCSV]],Medidas[#All],1,FALSE)</f>
        <v>#N/A</v>
      </c>
    </row>
    <row r="360" spans="2:3" x14ac:dyDescent="0.35">
      <c r="B360" t="s">
        <v>427</v>
      </c>
      <c r="C360" t="e">
        <f>VLOOKUP(MergeExpressoes[[#This Row],[VariableNameDentroCSV]],Medidas[#All],1,FALSE)</f>
        <v>#N/A</v>
      </c>
    </row>
    <row r="361" spans="2:3" x14ac:dyDescent="0.35">
      <c r="B361" t="s">
        <v>428</v>
      </c>
      <c r="C361" t="e">
        <f>VLOOKUP(MergeExpressoes[[#This Row],[VariableNameDentroCSV]],Medidas[#All],1,FALSE)</f>
        <v>#N/A</v>
      </c>
    </row>
    <row r="362" spans="2:3" x14ac:dyDescent="0.35">
      <c r="B362" t="s">
        <v>429</v>
      </c>
      <c r="C362" t="e">
        <f>VLOOKUP(MergeExpressoes[[#This Row],[VariableNameDentroCSV]],Medidas[#All],1,FALSE)</f>
        <v>#N/A</v>
      </c>
    </row>
    <row r="363" spans="2:3" x14ac:dyDescent="0.35">
      <c r="B363" t="s">
        <v>430</v>
      </c>
      <c r="C363" t="e">
        <f>VLOOKUP(MergeExpressoes[[#This Row],[VariableNameDentroCSV]],Medidas[#All],1,FALSE)</f>
        <v>#N/A</v>
      </c>
    </row>
    <row r="364" spans="2:3" x14ac:dyDescent="0.35">
      <c r="B364" t="s">
        <v>431</v>
      </c>
      <c r="C364" t="e">
        <f>VLOOKUP(MergeExpressoes[[#This Row],[VariableNameDentroCSV]],Medidas[#All],1,FALSE)</f>
        <v>#N/A</v>
      </c>
    </row>
    <row r="365" spans="2:3" x14ac:dyDescent="0.35">
      <c r="B365" t="s">
        <v>432</v>
      </c>
      <c r="C365" t="e">
        <f>VLOOKUP(MergeExpressoes[[#This Row],[VariableNameDentroCSV]],Medidas[#All],1,FALSE)</f>
        <v>#N/A</v>
      </c>
    </row>
    <row r="366" spans="2:3" x14ac:dyDescent="0.35">
      <c r="B366" t="s">
        <v>433</v>
      </c>
      <c r="C366" t="e">
        <f>VLOOKUP(MergeExpressoes[[#This Row],[VariableNameDentroCSV]],Medidas[#All],1,FALSE)</f>
        <v>#N/A</v>
      </c>
    </row>
    <row r="367" spans="2:3" x14ac:dyDescent="0.35">
      <c r="B367" t="s">
        <v>434</v>
      </c>
      <c r="C367" t="e">
        <f>VLOOKUP(MergeExpressoes[[#This Row],[VariableNameDentroCSV]],Medidas[#All],1,FALSE)</f>
        <v>#N/A</v>
      </c>
    </row>
    <row r="368" spans="2:3" x14ac:dyDescent="0.35">
      <c r="B368" t="s">
        <v>435</v>
      </c>
      <c r="C368" t="e">
        <f>VLOOKUP(MergeExpressoes[[#This Row],[VariableNameDentroCSV]],Medidas[#All],1,FALSE)</f>
        <v>#N/A</v>
      </c>
    </row>
    <row r="369" spans="2:3" x14ac:dyDescent="0.35">
      <c r="B369" t="s">
        <v>436</v>
      </c>
      <c r="C369" t="e">
        <f>VLOOKUP(MergeExpressoes[[#This Row],[VariableNameDentroCSV]],Medidas[#All],1,FALSE)</f>
        <v>#N/A</v>
      </c>
    </row>
    <row r="370" spans="2:3" x14ac:dyDescent="0.35">
      <c r="B370" t="s">
        <v>437</v>
      </c>
      <c r="C370" t="e">
        <f>VLOOKUP(MergeExpressoes[[#This Row],[VariableNameDentroCSV]],Medidas[#All],1,FALSE)</f>
        <v>#N/A</v>
      </c>
    </row>
    <row r="371" spans="2:3" x14ac:dyDescent="0.35">
      <c r="B371" t="s">
        <v>438</v>
      </c>
      <c r="C371" t="e">
        <f>VLOOKUP(MergeExpressoes[[#This Row],[VariableNameDentroCSV]],Medidas[#All],1,FALSE)</f>
        <v>#N/A</v>
      </c>
    </row>
    <row r="372" spans="2:3" x14ac:dyDescent="0.35">
      <c r="B372" t="s">
        <v>439</v>
      </c>
      <c r="C372" t="e">
        <f>VLOOKUP(MergeExpressoes[[#This Row],[VariableNameDentroCSV]],Medidas[#All],1,FALSE)</f>
        <v>#N/A</v>
      </c>
    </row>
    <row r="373" spans="2:3" x14ac:dyDescent="0.35">
      <c r="B373" t="s">
        <v>440</v>
      </c>
      <c r="C373" t="e">
        <f>VLOOKUP(MergeExpressoes[[#This Row],[VariableNameDentroCSV]],Medidas[#All],1,FALSE)</f>
        <v>#N/A</v>
      </c>
    </row>
    <row r="374" spans="2:3" x14ac:dyDescent="0.35">
      <c r="B374" t="s">
        <v>441</v>
      </c>
      <c r="C374" t="e">
        <f>VLOOKUP(MergeExpressoes[[#This Row],[VariableNameDentroCSV]],Medidas[#All],1,FALSE)</f>
        <v>#N/A</v>
      </c>
    </row>
    <row r="375" spans="2:3" x14ac:dyDescent="0.35">
      <c r="B375" t="s">
        <v>442</v>
      </c>
      <c r="C375" t="e">
        <f>VLOOKUP(MergeExpressoes[[#This Row],[VariableNameDentroCSV]],Medidas[#All],1,FALSE)</f>
        <v>#N/A</v>
      </c>
    </row>
    <row r="376" spans="2:3" x14ac:dyDescent="0.35">
      <c r="B376" t="s">
        <v>443</v>
      </c>
      <c r="C376" t="e">
        <f>VLOOKUP(MergeExpressoes[[#This Row],[VariableNameDentroCSV]],Medidas[#All],1,FALSE)</f>
        <v>#N/A</v>
      </c>
    </row>
    <row r="377" spans="2:3" x14ac:dyDescent="0.35">
      <c r="B377" t="s">
        <v>444</v>
      </c>
      <c r="C377" t="e">
        <f>VLOOKUP(MergeExpressoes[[#This Row],[VariableNameDentroCSV]],Medidas[#All],1,FALSE)</f>
        <v>#N/A</v>
      </c>
    </row>
    <row r="378" spans="2:3" x14ac:dyDescent="0.35">
      <c r="B378" t="s">
        <v>445</v>
      </c>
      <c r="C378" t="e">
        <f>VLOOKUP(MergeExpressoes[[#This Row],[VariableNameDentroCSV]],Medidas[#All],1,FALSE)</f>
        <v>#N/A</v>
      </c>
    </row>
    <row r="379" spans="2:3" x14ac:dyDescent="0.35">
      <c r="B379" t="s">
        <v>446</v>
      </c>
      <c r="C379" t="e">
        <f>VLOOKUP(MergeExpressoes[[#This Row],[VariableNameDentroCSV]],Medidas[#All],1,FALSE)</f>
        <v>#N/A</v>
      </c>
    </row>
    <row r="380" spans="2:3" x14ac:dyDescent="0.35">
      <c r="B380" t="s">
        <v>447</v>
      </c>
      <c r="C380" t="e">
        <f>VLOOKUP(MergeExpressoes[[#This Row],[VariableNameDentroCSV]],Medidas[#All],1,FALSE)</f>
        <v>#N/A</v>
      </c>
    </row>
    <row r="381" spans="2:3" x14ac:dyDescent="0.35">
      <c r="B381" t="s">
        <v>448</v>
      </c>
      <c r="C381" t="e">
        <f>VLOOKUP(MergeExpressoes[[#This Row],[VariableNameDentroCSV]],Medidas[#All],1,FALSE)</f>
        <v>#N/A</v>
      </c>
    </row>
    <row r="382" spans="2:3" x14ac:dyDescent="0.35">
      <c r="B382" t="s">
        <v>449</v>
      </c>
      <c r="C382" t="e">
        <f>VLOOKUP(MergeExpressoes[[#This Row],[VariableNameDentroCSV]],Medidas[#All],1,FALSE)</f>
        <v>#N/A</v>
      </c>
    </row>
    <row r="383" spans="2:3" x14ac:dyDescent="0.35">
      <c r="B383" t="s">
        <v>450</v>
      </c>
      <c r="C383" t="e">
        <f>VLOOKUP(MergeExpressoes[[#This Row],[VariableNameDentroCSV]],Medidas[#All],1,FALSE)</f>
        <v>#N/A</v>
      </c>
    </row>
    <row r="384" spans="2:3" x14ac:dyDescent="0.35">
      <c r="B384" t="s">
        <v>451</v>
      </c>
      <c r="C384" t="e">
        <f>VLOOKUP(MergeExpressoes[[#This Row],[VariableNameDentroCSV]],Medidas[#All],1,FALSE)</f>
        <v>#N/A</v>
      </c>
    </row>
    <row r="385" spans="2:3" x14ac:dyDescent="0.35">
      <c r="B385" t="s">
        <v>452</v>
      </c>
      <c r="C385" t="e">
        <f>VLOOKUP(MergeExpressoes[[#This Row],[VariableNameDentroCSV]],Medidas[#All],1,FALSE)</f>
        <v>#N/A</v>
      </c>
    </row>
    <row r="386" spans="2:3" x14ac:dyDescent="0.35">
      <c r="B386" t="s">
        <v>453</v>
      </c>
      <c r="C386" t="e">
        <f>VLOOKUP(MergeExpressoes[[#This Row],[VariableNameDentroCSV]],Medidas[#All],1,FALSE)</f>
        <v>#N/A</v>
      </c>
    </row>
    <row r="387" spans="2:3" x14ac:dyDescent="0.35">
      <c r="B387" t="s">
        <v>454</v>
      </c>
      <c r="C387" t="e">
        <f>VLOOKUP(MergeExpressoes[[#This Row],[VariableNameDentroCSV]],Medidas[#All],1,FALSE)</f>
        <v>#N/A</v>
      </c>
    </row>
    <row r="388" spans="2:3" x14ac:dyDescent="0.35">
      <c r="B388" t="s">
        <v>455</v>
      </c>
      <c r="C388" t="e">
        <f>VLOOKUP(MergeExpressoes[[#This Row],[VariableNameDentroCSV]],Medidas[#All],1,FALSE)</f>
        <v>#N/A</v>
      </c>
    </row>
    <row r="389" spans="2:3" x14ac:dyDescent="0.35">
      <c r="B389" t="s">
        <v>456</v>
      </c>
      <c r="C389" t="e">
        <f>VLOOKUP(MergeExpressoes[[#This Row],[VariableNameDentroCSV]],Medidas[#All],1,FALSE)</f>
        <v>#N/A</v>
      </c>
    </row>
    <row r="390" spans="2:3" x14ac:dyDescent="0.35">
      <c r="B390" t="s">
        <v>457</v>
      </c>
      <c r="C390" t="e">
        <f>VLOOKUP(MergeExpressoes[[#This Row],[VariableNameDentroCSV]],Medidas[#All],1,FALSE)</f>
        <v>#N/A</v>
      </c>
    </row>
    <row r="391" spans="2:3" x14ac:dyDescent="0.35">
      <c r="B391" t="s">
        <v>458</v>
      </c>
      <c r="C391" t="e">
        <f>VLOOKUP(MergeExpressoes[[#This Row],[VariableNameDentroCSV]],Medidas[#All],1,FALSE)</f>
        <v>#N/A</v>
      </c>
    </row>
    <row r="392" spans="2:3" x14ac:dyDescent="0.35">
      <c r="B392" t="s">
        <v>459</v>
      </c>
      <c r="C392" t="e">
        <f>VLOOKUP(MergeExpressoes[[#This Row],[VariableNameDentroCSV]],Medidas[#All],1,FALSE)</f>
        <v>#N/A</v>
      </c>
    </row>
    <row r="393" spans="2:3" x14ac:dyDescent="0.35">
      <c r="B393" t="s">
        <v>460</v>
      </c>
      <c r="C393" t="e">
        <f>VLOOKUP(MergeExpressoes[[#This Row],[VariableNameDentroCSV]],Medidas[#All],1,FALSE)</f>
        <v>#N/A</v>
      </c>
    </row>
    <row r="394" spans="2:3" x14ac:dyDescent="0.35">
      <c r="B394" t="s">
        <v>461</v>
      </c>
      <c r="C394" t="e">
        <f>VLOOKUP(MergeExpressoes[[#This Row],[VariableNameDentroCSV]],Medidas[#All],1,FALSE)</f>
        <v>#N/A</v>
      </c>
    </row>
    <row r="395" spans="2:3" x14ac:dyDescent="0.35">
      <c r="B395" t="s">
        <v>462</v>
      </c>
      <c r="C395" t="e">
        <f>VLOOKUP(MergeExpressoes[[#This Row],[VariableNameDentroCSV]],Medidas[#All],1,FALSE)</f>
        <v>#N/A</v>
      </c>
    </row>
    <row r="396" spans="2:3" x14ac:dyDescent="0.35">
      <c r="B396" t="s">
        <v>463</v>
      </c>
      <c r="C396" t="e">
        <f>VLOOKUP(MergeExpressoes[[#This Row],[VariableNameDentroCSV]],Medidas[#All],1,FALSE)</f>
        <v>#N/A</v>
      </c>
    </row>
    <row r="397" spans="2:3" x14ac:dyDescent="0.35">
      <c r="B397" t="s">
        <v>464</v>
      </c>
      <c r="C397" t="e">
        <f>VLOOKUP(MergeExpressoes[[#This Row],[VariableNameDentroCSV]],Medidas[#All],1,FALSE)</f>
        <v>#N/A</v>
      </c>
    </row>
    <row r="398" spans="2:3" x14ac:dyDescent="0.35">
      <c r="B398" t="s">
        <v>465</v>
      </c>
      <c r="C398" t="e">
        <f>VLOOKUP(MergeExpressoes[[#This Row],[VariableNameDentroCSV]],Medidas[#All],1,FALSE)</f>
        <v>#N/A</v>
      </c>
    </row>
    <row r="399" spans="2:3" x14ac:dyDescent="0.35">
      <c r="B399" t="s">
        <v>466</v>
      </c>
      <c r="C399" t="e">
        <f>VLOOKUP(MergeExpressoes[[#This Row],[VariableNameDentroCSV]],Medidas[#All],1,FALSE)</f>
        <v>#N/A</v>
      </c>
    </row>
    <row r="400" spans="2:3" x14ac:dyDescent="0.35">
      <c r="B400" t="s">
        <v>467</v>
      </c>
      <c r="C400" t="e">
        <f>VLOOKUP(MergeExpressoes[[#This Row],[VariableNameDentroCSV]],Medidas[#All],1,FALSE)</f>
        <v>#N/A</v>
      </c>
    </row>
    <row r="401" spans="2:3" x14ac:dyDescent="0.35">
      <c r="B401" t="s">
        <v>468</v>
      </c>
      <c r="C401" t="e">
        <f>VLOOKUP(MergeExpressoes[[#This Row],[VariableNameDentroCSV]],Medidas[#All],1,FALSE)</f>
        <v>#N/A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9"/>
  <sheetViews>
    <sheetView zoomScaleNormal="100" workbookViewId="0">
      <selection activeCell="A5" sqref="A5:A20"/>
    </sheetView>
  </sheetViews>
  <sheetFormatPr defaultRowHeight="14.5" x14ac:dyDescent="0.35"/>
  <cols>
    <col min="1" max="1" width="80.1796875" style="17" customWidth="1"/>
    <col min="2" max="2" width="25" style="16" customWidth="1"/>
    <col min="3" max="3" width="25.1796875" customWidth="1"/>
    <col min="4" max="4" width="52.7265625" bestFit="1" customWidth="1"/>
    <col min="5" max="5" width="16.453125" customWidth="1"/>
    <col min="7" max="7" width="44.1796875" customWidth="1"/>
    <col min="8" max="8" width="21.453125" customWidth="1"/>
    <col min="9" max="9" width="23.1796875" bestFit="1" customWidth="1"/>
  </cols>
  <sheetData>
    <row r="1" spans="1:12" x14ac:dyDescent="0.35">
      <c r="A1" s="17" t="s">
        <v>504</v>
      </c>
      <c r="B1" s="16" t="s">
        <v>505</v>
      </c>
      <c r="C1" t="s">
        <v>506</v>
      </c>
      <c r="D1" t="s">
        <v>507</v>
      </c>
      <c r="E1" t="s">
        <v>833</v>
      </c>
      <c r="F1" t="s">
        <v>837</v>
      </c>
      <c r="G1" t="s">
        <v>876</v>
      </c>
      <c r="H1" t="s">
        <v>1044</v>
      </c>
      <c r="I1" t="s">
        <v>1047</v>
      </c>
      <c r="J1" t="s">
        <v>490</v>
      </c>
      <c r="K1" t="s">
        <v>1052</v>
      </c>
      <c r="L1" t="s">
        <v>1136</v>
      </c>
    </row>
    <row r="2" spans="1:12" x14ac:dyDescent="0.35">
      <c r="B2" s="16" t="s">
        <v>877</v>
      </c>
      <c r="C2" t="s">
        <v>999</v>
      </c>
      <c r="D2" t="s">
        <v>528</v>
      </c>
      <c r="E2" s="16"/>
      <c r="G2" s="17" t="s">
        <v>1015</v>
      </c>
      <c r="H2" t="str">
        <f>VLOOKUP(Regras[[#This Row],[ObjectID]],ExporExpressoesDimensoesPainel[[ID OBJ]:[abaname]],3,FALSE)</f>
        <v>filterpane</v>
      </c>
      <c r="I2" t="str">
        <f>VLOOKUP(Regras[[#This Row],[ObjectID]],ExporExpressoesDimensoesPainel[[ID OBJ]:[abaname]],8,FALSE)</f>
        <v>Detalhamento dos Casos</v>
      </c>
      <c r="L2" t="s">
        <v>1015</v>
      </c>
    </row>
    <row r="3" spans="1:12" x14ac:dyDescent="0.35">
      <c r="A3" s="17" t="s">
        <v>874</v>
      </c>
      <c r="B3" s="16" t="s">
        <v>877</v>
      </c>
      <c r="C3" s="16" t="s">
        <v>889</v>
      </c>
      <c r="D3" s="16" t="s">
        <v>517</v>
      </c>
      <c r="E3" s="16" t="s">
        <v>835</v>
      </c>
      <c r="G3" s="16" t="s">
        <v>875</v>
      </c>
      <c r="H3" t="str">
        <f>VLOOKUP(Regras[[#This Row],[ObjectID]],ExporExpressoesDimensoesPainel[[ID OBJ]:[abaname]],3,FALSE)</f>
        <v>table</v>
      </c>
      <c r="I3" t="str">
        <f>VLOOKUP(Regras[[#This Row],[ObjectID]],ExporExpressoesDimensoesPainel[[ID OBJ]:[abaname]],8,FALSE)</f>
        <v>Detalhamento dos Casos</v>
      </c>
      <c r="L3" t="s">
        <v>875</v>
      </c>
    </row>
    <row r="4" spans="1:12" x14ac:dyDescent="0.35">
      <c r="B4" s="16" t="s">
        <v>877</v>
      </c>
      <c r="C4" s="16" t="s">
        <v>915</v>
      </c>
      <c r="D4" s="16" t="s">
        <v>527</v>
      </c>
      <c r="E4" s="16"/>
      <c r="G4" s="17" t="s">
        <v>1022</v>
      </c>
      <c r="H4" t="str">
        <f>VLOOKUP(Regras[[#This Row],[ObjectID]],ExporExpressoesDimensoesPainel[[ID OBJ]:[abaname]],3,FALSE)</f>
        <v>qsSimpleKPI</v>
      </c>
      <c r="I4" t="str">
        <f>VLOOKUP(Regras[[#This Row],[ObjectID]],ExporExpressoesDimensoesPainel[[ID OBJ]:[abaname]],8,FALSE)</f>
        <v>Informações Gerais:</v>
      </c>
      <c r="L4" t="s">
        <v>1022</v>
      </c>
    </row>
    <row r="5" spans="1:12" s="16" customFormat="1" x14ac:dyDescent="0.35">
      <c r="A5" s="17"/>
      <c r="B5" s="16" t="s">
        <v>877</v>
      </c>
      <c r="C5" t="s">
        <v>1099</v>
      </c>
      <c r="D5" s="16" t="s">
        <v>527</v>
      </c>
      <c r="G5" s="17" t="s">
        <v>1025</v>
      </c>
      <c r="H5" s="16" t="str">
        <f>VLOOKUP(Regras[[#This Row],[ObjectID]],ExporExpressoesDimensoesPainel[[ID OBJ]:[abaname]],3,FALSE)</f>
        <v>qsSimpleKPI</v>
      </c>
      <c r="I5" s="16" t="str">
        <f>VLOOKUP(Regras[[#This Row],[ObjectID]],ExporExpressoesDimensoesPainel[[ID OBJ]:[abaname]],8,FALSE)</f>
        <v>Informações Gerais:</v>
      </c>
      <c r="L5" s="16" t="s">
        <v>1025</v>
      </c>
    </row>
    <row r="6" spans="1:12" x14ac:dyDescent="0.35">
      <c r="B6" s="16" t="s">
        <v>877</v>
      </c>
      <c r="C6" s="16"/>
      <c r="D6" s="16" t="s">
        <v>517</v>
      </c>
      <c r="E6" s="16"/>
      <c r="G6" s="17" t="s">
        <v>1028</v>
      </c>
      <c r="H6" t="str">
        <f>VLOOKUP(Regras[[#This Row],[ObjectID]],ExporExpressoesDimensoesPainel[[ID OBJ]:[abaname]],3,FALSE)</f>
        <v>table</v>
      </c>
      <c r="I6" t="str">
        <f>VLOOKUP(Regras[[#This Row],[ObjectID]],ExporExpressoesDimensoesPainel[[ID OBJ]:[abaname]],8,FALSE)</f>
        <v>Informações Gerais:</v>
      </c>
      <c r="L6" t="s">
        <v>1028</v>
      </c>
    </row>
    <row r="7" spans="1:12" x14ac:dyDescent="0.35">
      <c r="B7" s="16" t="s">
        <v>877</v>
      </c>
      <c r="C7" t="s">
        <v>1099</v>
      </c>
      <c r="D7" t="s">
        <v>528</v>
      </c>
      <c r="E7" s="16"/>
      <c r="G7" s="17" t="s">
        <v>1029</v>
      </c>
      <c r="H7" t="str">
        <f>VLOOKUP(Regras[[#This Row],[ObjectID]],ExporExpressoesDimensoesPainel[[ID OBJ]:[abaname]],3,FALSE)</f>
        <v>filterpane</v>
      </c>
      <c r="I7" t="str">
        <f>VLOOKUP(Regras[[#This Row],[ObjectID]],ExporExpressoesDimensoesPainel[[ID OBJ]:[abaname]],8,FALSE)</f>
        <v>Informações Gerais:</v>
      </c>
      <c r="L7" t="s">
        <v>1029</v>
      </c>
    </row>
    <row r="8" spans="1:12" x14ac:dyDescent="0.35">
      <c r="B8" s="16" t="s">
        <v>877</v>
      </c>
      <c r="C8" s="16" t="s">
        <v>915</v>
      </c>
      <c r="D8" s="16" t="s">
        <v>512</v>
      </c>
      <c r="E8" s="16"/>
      <c r="G8" s="17" t="s">
        <v>1021</v>
      </c>
      <c r="H8" t="str">
        <f>VLOOKUP(Regras[[#This Row],[ObjectID]],ExporExpressoesDimensoesPainel[[ID OBJ]:[abaname]],3,FALSE)</f>
        <v>text-image</v>
      </c>
      <c r="I8" t="str">
        <f>VLOOKUP(Regras[[#This Row],[ObjectID]],ExporExpressoesDimensoesPainel[[ID OBJ]:[abaname]],8,FALSE)</f>
        <v>Informações Gerais:</v>
      </c>
      <c r="L8" t="s">
        <v>1021</v>
      </c>
    </row>
    <row r="9" spans="1:12" x14ac:dyDescent="0.35">
      <c r="B9" s="16" t="s">
        <v>877</v>
      </c>
      <c r="C9" s="16" t="s">
        <v>1099</v>
      </c>
      <c r="D9" s="16" t="s">
        <v>554</v>
      </c>
      <c r="E9" s="16"/>
      <c r="G9" s="17" t="s">
        <v>1018</v>
      </c>
      <c r="H9" t="str">
        <f>VLOOKUP(Regras[[#This Row],[ObjectID]],ExporExpressoesDimensoesPainel[[ID OBJ]:[abaname]],3,FALSE)</f>
        <v>qlik-multi-kpi</v>
      </c>
      <c r="I9" t="str">
        <f>VLOOKUP(Regras[[#This Row],[ObjectID]],ExporExpressoesDimensoesPainel[[ID OBJ]:[abaname]],8,FALSE)</f>
        <v>Informações Gerais:</v>
      </c>
      <c r="L9" t="s">
        <v>1018</v>
      </c>
    </row>
    <row r="10" spans="1:12" x14ac:dyDescent="0.35">
      <c r="A10" s="17" t="s">
        <v>1072</v>
      </c>
      <c r="B10" s="16" t="s">
        <v>877</v>
      </c>
      <c r="C10" s="16" t="s">
        <v>915</v>
      </c>
      <c r="D10" s="16" t="s">
        <v>965</v>
      </c>
      <c r="E10" s="16" t="s">
        <v>835</v>
      </c>
      <c r="G10" s="38" t="s">
        <v>881</v>
      </c>
      <c r="H10" t="str">
        <f>VLOOKUP(Regras[[#This Row],[ObjectID]],ExporExpressoesDimensoesPainel[[ID OBJ]:[abaname]],3,FALSE)</f>
        <v>CircularKPI</v>
      </c>
      <c r="I10" t="str">
        <f>VLOOKUP(Regras[[#This Row],[ObjectID]],ExporExpressoesDimensoesPainel[[ID OBJ]:[abaname]],8,FALSE)</f>
        <v>Resultado Financeiro</v>
      </c>
      <c r="J10" t="s">
        <v>1049</v>
      </c>
      <c r="K10" t="s">
        <v>1073</v>
      </c>
      <c r="L10" t="s">
        <v>881</v>
      </c>
    </row>
    <row r="11" spans="1:12" x14ac:dyDescent="0.35">
      <c r="A11" s="17" t="s">
        <v>1075</v>
      </c>
      <c r="B11" s="16" t="s">
        <v>877</v>
      </c>
      <c r="C11" s="16" t="s">
        <v>915</v>
      </c>
      <c r="D11" s="16" t="s">
        <v>527</v>
      </c>
      <c r="E11" s="16" t="s">
        <v>835</v>
      </c>
      <c r="G11" s="38" t="s">
        <v>884</v>
      </c>
      <c r="H11" t="str">
        <f>VLOOKUP(Regras[[#This Row],[ObjectID]],ExporExpressoesDimensoesPainel[[ID OBJ]:[abaname]],3,FALSE)</f>
        <v>qsSimpleKPI</v>
      </c>
      <c r="I11" t="str">
        <f>VLOOKUP(Regras[[#This Row],[ObjectID]],ExporExpressoesDimensoesPainel[[ID OBJ]:[abaname]],8,FALSE)</f>
        <v>Resultado Financeiro</v>
      </c>
      <c r="J11" t="s">
        <v>1049</v>
      </c>
      <c r="K11" t="s">
        <v>1074</v>
      </c>
      <c r="L11" t="s">
        <v>884</v>
      </c>
    </row>
    <row r="12" spans="1:12" x14ac:dyDescent="0.35">
      <c r="A12" s="17" t="s">
        <v>1077</v>
      </c>
      <c r="B12" s="16" t="s">
        <v>877</v>
      </c>
      <c r="C12" t="s">
        <v>915</v>
      </c>
      <c r="D12" t="s">
        <v>527</v>
      </c>
      <c r="E12" s="16" t="s">
        <v>835</v>
      </c>
      <c r="G12" s="38" t="s">
        <v>883</v>
      </c>
      <c r="H12" t="str">
        <f>VLOOKUP(Regras[[#This Row],[ObjectID]],ExporExpressoesDimensoesPainel[[ID OBJ]:[abaname]],3,FALSE)</f>
        <v>qsSimpleKPI</v>
      </c>
      <c r="I12" t="str">
        <f>VLOOKUP(Regras[[#This Row],[ObjectID]],ExporExpressoesDimensoesPainel[[ID OBJ]:[abaname]],8,FALSE)</f>
        <v>Resultado Financeiro</v>
      </c>
      <c r="J12" t="s">
        <v>1049</v>
      </c>
      <c r="K12" t="s">
        <v>1076</v>
      </c>
      <c r="L12" t="s">
        <v>883</v>
      </c>
    </row>
    <row r="13" spans="1:12" x14ac:dyDescent="0.35">
      <c r="A13" s="17" t="s">
        <v>1078</v>
      </c>
      <c r="B13" s="16" t="s">
        <v>877</v>
      </c>
      <c r="C13" s="16" t="s">
        <v>915</v>
      </c>
      <c r="D13" s="16" t="s">
        <v>527</v>
      </c>
      <c r="E13" s="16" t="s">
        <v>835</v>
      </c>
      <c r="G13" s="38" t="s">
        <v>878</v>
      </c>
      <c r="H13" t="str">
        <f>VLOOKUP(Regras[[#This Row],[ObjectID]],ExporExpressoesDimensoesPainel[[ID OBJ]:[abaname]],3,FALSE)</f>
        <v>qsSimpleKPI</v>
      </c>
      <c r="I13" t="str">
        <f>VLOOKUP(Regras[[#This Row],[ObjectID]],ExporExpressoesDimensoesPainel[[ID OBJ]:[abaname]],8,FALSE)</f>
        <v>Resultado Financeiro</v>
      </c>
      <c r="J13" t="s">
        <v>1049</v>
      </c>
      <c r="K13" t="s">
        <v>1055</v>
      </c>
      <c r="L13" t="s">
        <v>878</v>
      </c>
    </row>
    <row r="14" spans="1:12" x14ac:dyDescent="0.35">
      <c r="A14" s="17" t="s">
        <v>1080</v>
      </c>
      <c r="B14" s="16" t="s">
        <v>877</v>
      </c>
      <c r="C14" t="s">
        <v>915</v>
      </c>
      <c r="D14" t="s">
        <v>527</v>
      </c>
      <c r="E14" s="16" t="s">
        <v>835</v>
      </c>
      <c r="G14" s="38" t="s">
        <v>879</v>
      </c>
      <c r="H14" t="str">
        <f>VLOOKUP(Regras[[#This Row],[ObjectID]],ExporExpressoesDimensoesPainel[[ID OBJ]:[abaname]],3,FALSE)</f>
        <v>qsSimpleKPI</v>
      </c>
      <c r="I14" t="str">
        <f>VLOOKUP(Regras[[#This Row],[ObjectID]],ExporExpressoesDimensoesPainel[[ID OBJ]:[abaname]],8,FALSE)</f>
        <v>Resultado Financeiro</v>
      </c>
      <c r="J14" t="s">
        <v>1049</v>
      </c>
      <c r="K14" t="s">
        <v>1079</v>
      </c>
      <c r="L14" t="s">
        <v>879</v>
      </c>
    </row>
    <row r="15" spans="1:12" x14ac:dyDescent="0.35">
      <c r="A15" s="17" t="s">
        <v>1081</v>
      </c>
      <c r="B15" s="16" t="s">
        <v>877</v>
      </c>
      <c r="C15" t="s">
        <v>915</v>
      </c>
      <c r="D15" t="s">
        <v>527</v>
      </c>
      <c r="E15" s="16" t="s">
        <v>835</v>
      </c>
      <c r="G15" s="38" t="s">
        <v>886</v>
      </c>
      <c r="H15" t="str">
        <f>VLOOKUP(Regras[[#This Row],[ObjectID]],ExporExpressoesDimensoesPainel[[ID OBJ]:[abaname]],3,FALSE)</f>
        <v>qsSimpleKPI</v>
      </c>
      <c r="I15" t="str">
        <f>VLOOKUP(Regras[[#This Row],[ObjectID]],ExporExpressoesDimensoesPainel[[ID OBJ]:[abaname]],8,FALSE)</f>
        <v>Resultado Financeiro</v>
      </c>
      <c r="J15" t="s">
        <v>1049</v>
      </c>
      <c r="K15" t="s">
        <v>1057</v>
      </c>
      <c r="L15" t="s">
        <v>886</v>
      </c>
    </row>
    <row r="16" spans="1:12" ht="29" x14ac:dyDescent="0.35">
      <c r="A16" s="17" t="s">
        <v>1082</v>
      </c>
      <c r="B16" s="16" t="s">
        <v>877</v>
      </c>
      <c r="C16" s="16" t="s">
        <v>915</v>
      </c>
      <c r="D16" s="16" t="s">
        <v>574</v>
      </c>
      <c r="E16" s="16" t="s">
        <v>835</v>
      </c>
      <c r="G16" s="38" t="s">
        <v>885</v>
      </c>
      <c r="H16" t="str">
        <f>VLOOKUP(Regras[[#This Row],[ObjectID]],ExporExpressoesDimensoesPainel[[ID OBJ]:[abaname]],3,FALSE)</f>
        <v>linechart</v>
      </c>
      <c r="I16" t="str">
        <f>VLOOKUP(Regras[[#This Row],[ObjectID]],ExporExpressoesDimensoesPainel[[ID OBJ]:[abaname]],8,FALSE)</f>
        <v>Resultado Financeiro</v>
      </c>
      <c r="J16" t="s">
        <v>1049</v>
      </c>
      <c r="K16" t="s">
        <v>1062</v>
      </c>
      <c r="L16" t="s">
        <v>885</v>
      </c>
    </row>
    <row r="17" spans="1:12" x14ac:dyDescent="0.35">
      <c r="A17" s="17" t="s">
        <v>1083</v>
      </c>
      <c r="B17" s="16" t="s">
        <v>877</v>
      </c>
      <c r="C17" t="s">
        <v>915</v>
      </c>
      <c r="D17" t="s">
        <v>917</v>
      </c>
      <c r="E17" t="s">
        <v>835</v>
      </c>
      <c r="G17" s="38" t="s">
        <v>887</v>
      </c>
      <c r="H17" t="str">
        <f>VLOOKUP(Regras[[#This Row],[ObjectID]],ExporExpressoesDimensoesPainel[[ID OBJ]:[abaname]],3,FALSE)</f>
        <v>waterfallchart</v>
      </c>
      <c r="I17" t="str">
        <f>VLOOKUP(Regras[[#This Row],[ObjectID]],ExporExpressoesDimensoesPainel[[ID OBJ]:[abaname]],8,FALSE)</f>
        <v>Resultado Financeiro</v>
      </c>
      <c r="J17" t="s">
        <v>1049</v>
      </c>
      <c r="K17" t="s">
        <v>1064</v>
      </c>
      <c r="L17" t="s">
        <v>887</v>
      </c>
    </row>
    <row r="18" spans="1:12" x14ac:dyDescent="0.35">
      <c r="A18" s="17" t="s">
        <v>1084</v>
      </c>
      <c r="B18" s="16" t="s">
        <v>877</v>
      </c>
      <c r="C18" s="16" t="s">
        <v>915</v>
      </c>
      <c r="D18" s="16" t="s">
        <v>546</v>
      </c>
      <c r="E18" s="16" t="s">
        <v>835</v>
      </c>
      <c r="F18" s="16"/>
      <c r="G18" s="16" t="s">
        <v>1141</v>
      </c>
      <c r="H18" s="16" t="str">
        <f>VLOOKUP(Regras[[#This Row],[ObjectID]],ExporExpressoesDimensoesPainel[[ID OBJ]:[abaname]],3,FALSE)</f>
        <v>combochart</v>
      </c>
      <c r="I18" s="16" t="str">
        <f>VLOOKUP(Regras[[#This Row],[ObjectID]],ExporExpressoesDimensoesPainel[[ID OBJ]:[abaname]],8,FALSE)</f>
        <v>Resultado Financeiro</v>
      </c>
      <c r="J18" t="s">
        <v>1049</v>
      </c>
      <c r="K18" t="s">
        <v>1066</v>
      </c>
      <c r="L18" t="s">
        <v>1141</v>
      </c>
    </row>
    <row r="19" spans="1:12" x14ac:dyDescent="0.35">
      <c r="A19" s="17" t="s">
        <v>1089</v>
      </c>
      <c r="B19" s="16" t="s">
        <v>877</v>
      </c>
      <c r="C19" t="s">
        <v>915</v>
      </c>
      <c r="D19" t="s">
        <v>517</v>
      </c>
      <c r="E19" s="16"/>
      <c r="G19" s="16" t="s">
        <v>1140</v>
      </c>
      <c r="H19" s="16" t="str">
        <f>VLOOKUP(Regras[[#This Row],[ObjectID]],ExporExpressoesDimensoesPainel[[ID OBJ]:[abaname]],3,FALSE)</f>
        <v>pivot-table</v>
      </c>
      <c r="I19" t="str">
        <f>VLOOKUP(Regras[[#This Row],[ObjectID]],ExporExpressoesDimensoesPainel[[ID OBJ]:[abaname]],8,FALSE)</f>
        <v>Resultado Financeiro</v>
      </c>
      <c r="J19" t="s">
        <v>1049</v>
      </c>
      <c r="K19" t="s">
        <v>1088</v>
      </c>
      <c r="L19" t="s">
        <v>1140</v>
      </c>
    </row>
    <row r="20" spans="1:12" x14ac:dyDescent="0.35">
      <c r="A20" s="17" t="s">
        <v>1085</v>
      </c>
      <c r="B20" s="16" t="s">
        <v>877</v>
      </c>
      <c r="C20" t="s">
        <v>915</v>
      </c>
      <c r="D20" t="s">
        <v>574</v>
      </c>
      <c r="E20" s="16" t="s">
        <v>835</v>
      </c>
      <c r="G20" s="38" t="s">
        <v>888</v>
      </c>
      <c r="H20" s="16" t="str">
        <f>VLOOKUP(Regras[[#This Row],[ObjectID]],ExporExpressoesDimensoesPainel[[ID OBJ]:[abaname]],3,FALSE)</f>
        <v>linechart</v>
      </c>
      <c r="I20" t="str">
        <f>VLOOKUP(Regras[[#This Row],[ObjectID]],ExporExpressoesDimensoesPainel[[ID OBJ]:[abaname]],8,FALSE)</f>
        <v>Resultado Financeiro</v>
      </c>
      <c r="J20" t="s">
        <v>1049</v>
      </c>
      <c r="K20" t="s">
        <v>1068</v>
      </c>
      <c r="L20" t="s">
        <v>888</v>
      </c>
    </row>
    <row r="21" spans="1:12" x14ac:dyDescent="0.35">
      <c r="A21" s="17" t="s">
        <v>1086</v>
      </c>
      <c r="B21" s="16" t="s">
        <v>877</v>
      </c>
      <c r="C21" t="s">
        <v>915</v>
      </c>
      <c r="D21" t="s">
        <v>512</v>
      </c>
      <c r="E21" s="16" t="s">
        <v>835</v>
      </c>
      <c r="G21" s="17" t="s">
        <v>971</v>
      </c>
      <c r="H21" s="16" t="str">
        <f>VLOOKUP(Regras[[#This Row],[ObjectID]],ExporExpressoesDimensoesPainel[[ID OBJ]:[abaname]],3,FALSE)</f>
        <v>text-image</v>
      </c>
      <c r="I21" t="str">
        <f>VLOOKUP(Regras[[#This Row],[ObjectID]],ExporExpressoesDimensoesPainel[[ID OBJ]:[abaname]],8,FALSE)</f>
        <v>Resultado Financeiro</v>
      </c>
      <c r="J21" t="s">
        <v>1049</v>
      </c>
      <c r="K21" t="s">
        <v>1070</v>
      </c>
      <c r="L21" t="s">
        <v>971</v>
      </c>
    </row>
    <row r="22" spans="1:12" x14ac:dyDescent="0.35">
      <c r="A22" s="17" t="s">
        <v>1091</v>
      </c>
      <c r="B22" s="16" t="s">
        <v>877</v>
      </c>
      <c r="C22" s="16" t="s">
        <v>915</v>
      </c>
      <c r="D22" s="16" t="s">
        <v>528</v>
      </c>
      <c r="E22" s="16"/>
      <c r="F22" s="16"/>
      <c r="G22" s="17" t="s">
        <v>1012</v>
      </c>
      <c r="H22" s="16" t="str">
        <f>VLOOKUP(Regras[[#This Row],[ObjectID]],ExporExpressoesDimensoesPainel[[ID OBJ]:[abaname]],3,FALSE)</f>
        <v>filterpane</v>
      </c>
      <c r="I22" s="16" t="str">
        <f>VLOOKUP(Regras[[#This Row],[ObjectID]],ExporExpressoesDimensoesPainel[[ID OBJ]:[abaname]],8,FALSE)</f>
        <v>Resultado Financeiro</v>
      </c>
      <c r="J22" t="s">
        <v>1049</v>
      </c>
      <c r="K22" t="s">
        <v>1090</v>
      </c>
      <c r="L22" t="s">
        <v>1012</v>
      </c>
    </row>
    <row r="23" spans="1:12" x14ac:dyDescent="0.35">
      <c r="A23" s="17" t="s">
        <v>1096</v>
      </c>
      <c r="B23" s="16" t="s">
        <v>877</v>
      </c>
      <c r="C23" t="s">
        <v>915</v>
      </c>
      <c r="D23" t="s">
        <v>584</v>
      </c>
      <c r="E23" s="16"/>
      <c r="G23" s="17" t="s">
        <v>961</v>
      </c>
      <c r="H23" s="16" t="str">
        <f>VLOOKUP(Regras[[#This Row],[ObjectID]],ExporExpressoesDimensoesPainel[[ID OBJ]:[abaname]],3,FALSE)</f>
        <v>pivot-table</v>
      </c>
      <c r="I23" t="str">
        <f>VLOOKUP(Regras[[#This Row],[ObjectID]],ExporExpressoesDimensoesPainel[[ID OBJ]:[abaname]],8,FALSE)</f>
        <v>Resultado Financeiro</v>
      </c>
      <c r="J23" t="s">
        <v>1049</v>
      </c>
      <c r="K23" t="s">
        <v>1090</v>
      </c>
    </row>
    <row r="24" spans="1:12" x14ac:dyDescent="0.35">
      <c r="A24" s="17" t="s">
        <v>1093</v>
      </c>
      <c r="B24" s="16" t="s">
        <v>877</v>
      </c>
      <c r="C24" t="s">
        <v>915</v>
      </c>
      <c r="D24" t="s">
        <v>528</v>
      </c>
      <c r="E24" s="16"/>
      <c r="G24" s="17" t="s">
        <v>1020</v>
      </c>
      <c r="H24" s="16" t="str">
        <f>VLOOKUP(Regras[[#This Row],[ObjectID]],ExporExpressoesDimensoesPainel[[ID OBJ]:[abaname]],3,FALSE)</f>
        <v>filterpane</v>
      </c>
      <c r="I24" t="str">
        <f>VLOOKUP(Regras[[#This Row],[ObjectID]],ExporExpressoesDimensoesPainel[[ID OBJ]:[abaname]],8,FALSE)</f>
        <v>Resultado Financeiro</v>
      </c>
      <c r="J24" t="s">
        <v>1049</v>
      </c>
      <c r="K24" t="s">
        <v>1092</v>
      </c>
      <c r="L24" t="s">
        <v>1020</v>
      </c>
    </row>
    <row r="25" spans="1:12" x14ac:dyDescent="0.35">
      <c r="A25" s="17" t="s">
        <v>1095</v>
      </c>
      <c r="B25" s="16" t="s">
        <v>877</v>
      </c>
      <c r="C25" s="16" t="s">
        <v>915</v>
      </c>
      <c r="D25" s="16" t="s">
        <v>528</v>
      </c>
      <c r="E25" s="16"/>
      <c r="G25" s="17" t="s">
        <v>998</v>
      </c>
      <c r="H25" s="16" t="str">
        <f>VLOOKUP(Regras[[#This Row],[ObjectID]],ExporExpressoesDimensoesPainel[[ID OBJ]:[abaname]],3,FALSE)</f>
        <v>filterpane</v>
      </c>
      <c r="I25" t="str">
        <f>VLOOKUP(Regras[[#This Row],[ObjectID]],ExporExpressoesDimensoesPainel[[ID OBJ]:[abaname]],8,FALSE)</f>
        <v>Resultado Financeiro</v>
      </c>
      <c r="J25" t="s">
        <v>1049</v>
      </c>
      <c r="K25" t="s">
        <v>1094</v>
      </c>
      <c r="L25" t="s">
        <v>998</v>
      </c>
    </row>
    <row r="26" spans="1:12" x14ac:dyDescent="0.35">
      <c r="A26" s="17" t="s">
        <v>1087</v>
      </c>
      <c r="B26" s="16" t="s">
        <v>877</v>
      </c>
      <c r="C26" t="s">
        <v>915</v>
      </c>
      <c r="D26" t="s">
        <v>574</v>
      </c>
      <c r="E26" s="16" t="s">
        <v>835</v>
      </c>
      <c r="G26" s="16" t="s">
        <v>1145</v>
      </c>
      <c r="H26" s="16" t="str">
        <f>VLOOKUP(Regras[[#This Row],[ObjectID]],ExporExpressoesDimensoesPainel[[ID OBJ]:[abaname]],3,FALSE)</f>
        <v>linechart</v>
      </c>
      <c r="I26" t="str">
        <f>VLOOKUP(Regras[[#This Row],[ObjectID]],ExporExpressoesDimensoesPainel[[ID OBJ]:[abaname]],8,FALSE)</f>
        <v>Resultado Financeiro</v>
      </c>
      <c r="J26" t="s">
        <v>1049</v>
      </c>
      <c r="K26" t="s">
        <v>1071</v>
      </c>
      <c r="L26" t="s">
        <v>1145</v>
      </c>
    </row>
    <row r="27" spans="1:12" ht="31" x14ac:dyDescent="0.35">
      <c r="A27" s="55" t="s">
        <v>1116</v>
      </c>
      <c r="B27" s="56" t="s">
        <v>1117</v>
      </c>
      <c r="C27" s="56" t="s">
        <v>1118</v>
      </c>
      <c r="D27" s="1" t="s">
        <v>1119</v>
      </c>
      <c r="E27" s="1" t="s">
        <v>835</v>
      </c>
      <c r="F27" s="1"/>
      <c r="G27" s="1" t="s">
        <v>839</v>
      </c>
      <c r="H27" s="2" t="str">
        <f>VLOOKUP(Regras[[#This Row],[ObjectID]],ExporExpressoesDimensoesPainel[[ID OBJ]:[abaname]],3,FALSE)</f>
        <v>combochart</v>
      </c>
      <c r="I27" s="2" t="str">
        <f>VLOOKUP(Regras[[#This Row],[ObjectID]],ExporExpressoesDimensoesPainel[[ID OBJ]:[abaname]],8,FALSE)</f>
        <v>Resultado Financeiro</v>
      </c>
    </row>
    <row r="28" spans="1:12" x14ac:dyDescent="0.35">
      <c r="B28" s="16" t="s">
        <v>877</v>
      </c>
      <c r="C28" t="s">
        <v>889</v>
      </c>
      <c r="D28" t="s">
        <v>527</v>
      </c>
      <c r="E28" s="16"/>
      <c r="G28" s="17" t="s">
        <v>962</v>
      </c>
      <c r="H28" s="16" t="str">
        <f>VLOOKUP(Regras[[#This Row],[ObjectID]],ExporExpressoesDimensoesPainel[[ID OBJ]:[abaname]],3,FALSE)</f>
        <v>qsSimpleKPI</v>
      </c>
      <c r="I28" t="str">
        <f>VLOOKUP(Regras[[#This Row],[ObjectID]],ExporExpressoesDimensoesPainel[[ID OBJ]:[abaname]],8,FALSE)</f>
        <v>Resultado Financeiro</v>
      </c>
    </row>
    <row r="29" spans="1:12" x14ac:dyDescent="0.35">
      <c r="G29" s="16" t="s">
        <v>1137</v>
      </c>
      <c r="H29" s="2" t="str">
        <f>VLOOKUP(Regras[[#This Row],[ObjectID]],ExporExpressoesDimensoesPainel[[ID OBJ]:[abaname]],3,FALSE)</f>
        <v>filterpane</v>
      </c>
      <c r="I29" t="str">
        <f>VLOOKUP(Regras[[#This Row],[ObjectID]],ExporExpressoesDimensoesPainel[[ID OBJ]:[abaname]],8,FALSE)</f>
        <v>Resultado Financeiro</v>
      </c>
      <c r="K29" t="s">
        <v>1142</v>
      </c>
      <c r="L29" t="s">
        <v>1137</v>
      </c>
    </row>
    <row r="30" spans="1:12" x14ac:dyDescent="0.35">
      <c r="G30" s="16" t="s">
        <v>1138</v>
      </c>
      <c r="H30" s="2" t="str">
        <f>VLOOKUP(Regras[[#This Row],[ObjectID]],ExporExpressoesDimensoesPainel[[ID OBJ]:[abaname]],3,FALSE)</f>
        <v>filterpane</v>
      </c>
      <c r="I30" t="str">
        <f>VLOOKUP(Regras[[#This Row],[ObjectID]],ExporExpressoesDimensoesPainel[[ID OBJ]:[abaname]],8,FALSE)</f>
        <v>Resultado Financeiro</v>
      </c>
      <c r="K30" t="s">
        <v>1143</v>
      </c>
      <c r="L30" t="s">
        <v>1138</v>
      </c>
    </row>
    <row r="31" spans="1:12" x14ac:dyDescent="0.35">
      <c r="G31" s="16" t="s">
        <v>1139</v>
      </c>
      <c r="H31" s="2" t="str">
        <f>VLOOKUP(Regras[[#This Row],[ObjectID]],ExporExpressoesDimensoesPainel[[ID OBJ]:[abaname]],3,FALSE)</f>
        <v>filterpane</v>
      </c>
      <c r="I31" s="16" t="str">
        <f>VLOOKUP(Regras[[#This Row],[ObjectID]],ExporExpressoesDimensoesPainel[[ID OBJ]:[abaname]],8,FALSE)</f>
        <v>Resultado Financeiro</v>
      </c>
      <c r="K31" t="s">
        <v>1144</v>
      </c>
      <c r="L31" t="s">
        <v>1139</v>
      </c>
    </row>
    <row r="32" spans="1:12" x14ac:dyDescent="0.35">
      <c r="C32" s="16"/>
      <c r="G32" s="16" t="s">
        <v>1146</v>
      </c>
      <c r="H32" s="2" t="str">
        <f>VLOOKUP(Regras[[#This Row],[ObjectID]],ExporExpressoesDimensoesPainel[[ID OBJ]:[abaname]],3,FALSE)</f>
        <v>pivot-table</v>
      </c>
      <c r="I32" t="str">
        <f>VLOOKUP(Regras[[#This Row],[ObjectID]],ExporExpressoesDimensoesPainel[[ID OBJ]:[abaname]],8,FALSE)</f>
        <v>Resultado Financeiro</v>
      </c>
      <c r="K32" t="s">
        <v>1147</v>
      </c>
      <c r="L32" t="s">
        <v>1146</v>
      </c>
    </row>
    <row r="33" spans="1:12" x14ac:dyDescent="0.35">
      <c r="A33" s="17" t="s">
        <v>1050</v>
      </c>
      <c r="B33" s="16" t="s">
        <v>877</v>
      </c>
      <c r="C33" t="s">
        <v>889</v>
      </c>
      <c r="D33" t="s">
        <v>512</v>
      </c>
      <c r="E33" t="s">
        <v>835</v>
      </c>
      <c r="G33" s="16" t="s">
        <v>858</v>
      </c>
      <c r="H33" s="16" t="str">
        <f>VLOOKUP(Regras[[#This Row],[ObjectID]],ExporExpressoesDimensoesPainel[[ID OBJ]:[abaname]],3,FALSE)</f>
        <v>text-image</v>
      </c>
      <c r="I33" t="str">
        <f>VLOOKUP(Regras[[#This Row],[ObjectID]],ExporExpressoesDimensoesPainel[[ID OBJ]:[abaname]],8,FALSE)</f>
        <v>Resultado Operacional</v>
      </c>
      <c r="J33" t="s">
        <v>1049</v>
      </c>
      <c r="K33" t="s">
        <v>1054</v>
      </c>
      <c r="L33" t="s">
        <v>858</v>
      </c>
    </row>
    <row r="34" spans="1:12" x14ac:dyDescent="0.35">
      <c r="A34" s="17" t="s">
        <v>1051</v>
      </c>
      <c r="B34" s="16" t="s">
        <v>877</v>
      </c>
      <c r="C34" t="s">
        <v>889</v>
      </c>
      <c r="D34" t="s">
        <v>512</v>
      </c>
      <c r="E34" t="s">
        <v>835</v>
      </c>
      <c r="G34" s="38" t="s">
        <v>882</v>
      </c>
      <c r="H34" s="16" t="str">
        <f>VLOOKUP(Regras[[#This Row],[ObjectID]],ExporExpressoesDimensoesPainel[[ID OBJ]:[abaname]],3,FALSE)</f>
        <v>text-image</v>
      </c>
      <c r="I34" t="str">
        <f>VLOOKUP(Regras[[#This Row],[ObjectID]],ExporExpressoesDimensoesPainel[[ID OBJ]:[abaname]],8,FALSE)</f>
        <v>Resultado Operacional</v>
      </c>
      <c r="J34" t="s">
        <v>1049</v>
      </c>
      <c r="K34" t="s">
        <v>1053</v>
      </c>
    </row>
    <row r="35" spans="1:12" x14ac:dyDescent="0.35">
      <c r="G35" s="16" t="s">
        <v>882</v>
      </c>
      <c r="H35" s="2" t="str">
        <f>VLOOKUP(Regras[[#This Row],[ObjectID]],ExporExpressoesDimensoesPainel[[ID OBJ]:[abaname]],3,FALSE)</f>
        <v>text-image</v>
      </c>
      <c r="I35" s="2" t="str">
        <f>VLOOKUP(Regras[[#This Row],[ObjectID]],ExporExpressoesDimensoesPainel[[ID OBJ]:[abaname]],8,FALSE)</f>
        <v>Resultado Operacional</v>
      </c>
      <c r="K35" t="s">
        <v>1053</v>
      </c>
      <c r="L35" t="s">
        <v>882</v>
      </c>
    </row>
    <row r="36" spans="1:12" ht="29" x14ac:dyDescent="0.35">
      <c r="A36" s="17" t="s">
        <v>1048</v>
      </c>
      <c r="B36" s="16" t="s">
        <v>877</v>
      </c>
      <c r="C36" s="16" t="s">
        <v>889</v>
      </c>
      <c r="D36" t="s">
        <v>900</v>
      </c>
      <c r="E36" t="s">
        <v>835</v>
      </c>
      <c r="G36" s="16" t="s">
        <v>857</v>
      </c>
      <c r="H36" s="16" t="str">
        <f>VLOOKUP(Regras[[#This Row],[ObjectID]],ExporExpressoesDimensoesPainel[[ID OBJ]:[abaname]],3,FALSE)</f>
        <v>piechart</v>
      </c>
      <c r="I36" t="str">
        <f>VLOOKUP(Regras[[#This Row],[ObjectID]],ExporExpressoesDimensoesPainel[[ID OBJ]:[abaname]],8,FALSE)</f>
        <v>Resultado Operacional</v>
      </c>
      <c r="J36" t="s">
        <v>1049</v>
      </c>
      <c r="K36" t="s">
        <v>1055</v>
      </c>
      <c r="L36" t="s">
        <v>857</v>
      </c>
    </row>
    <row r="37" spans="1:12" x14ac:dyDescent="0.35">
      <c r="A37" s="17" t="s">
        <v>865</v>
      </c>
      <c r="B37" s="16" t="s">
        <v>877</v>
      </c>
      <c r="C37" t="s">
        <v>889</v>
      </c>
      <c r="D37" t="s">
        <v>517</v>
      </c>
      <c r="E37" t="s">
        <v>835</v>
      </c>
      <c r="G37" s="16" t="s">
        <v>864</v>
      </c>
      <c r="H37" s="16" t="str">
        <f>VLOOKUP(Regras[[#This Row],[ObjectID]],ExporExpressoesDimensoesPainel[[ID OBJ]:[abaname]],3,FALSE)</f>
        <v>table</v>
      </c>
      <c r="I37" t="str">
        <f>VLOOKUP(Regras[[#This Row],[ObjectID]],ExporExpressoesDimensoesPainel[[ID OBJ]:[abaname]],8,FALSE)</f>
        <v>Resultado Operacional</v>
      </c>
      <c r="K37" t="s">
        <v>1154</v>
      </c>
      <c r="L37" t="s">
        <v>864</v>
      </c>
    </row>
    <row r="38" spans="1:12" ht="29" x14ac:dyDescent="0.35">
      <c r="A38" s="17" t="s">
        <v>1061</v>
      </c>
      <c r="B38" s="16" t="s">
        <v>877</v>
      </c>
      <c r="C38" t="s">
        <v>889</v>
      </c>
      <c r="D38" t="s">
        <v>900</v>
      </c>
      <c r="E38" t="s">
        <v>835</v>
      </c>
      <c r="G38" s="16" t="s">
        <v>859</v>
      </c>
      <c r="H38" s="16" t="str">
        <f>VLOOKUP(Regras[[#This Row],[ObjectID]],ExporExpressoesDimensoesPainel[[ID OBJ]:[abaname]],3,FALSE)</f>
        <v>piechart</v>
      </c>
      <c r="I38" t="str">
        <f>VLOOKUP(Regras[[#This Row],[ObjectID]],ExporExpressoesDimensoesPainel[[ID OBJ]:[abaname]],8,FALSE)</f>
        <v>Resultado Operacional</v>
      </c>
      <c r="J38" t="s">
        <v>1049</v>
      </c>
      <c r="K38" t="s">
        <v>1056</v>
      </c>
      <c r="L38" t="s">
        <v>859</v>
      </c>
    </row>
    <row r="39" spans="1:12" x14ac:dyDescent="0.35">
      <c r="A39" s="17" t="s">
        <v>1058</v>
      </c>
      <c r="B39" s="16" t="s">
        <v>877</v>
      </c>
      <c r="C39" t="s">
        <v>889</v>
      </c>
      <c r="D39" t="s">
        <v>900</v>
      </c>
      <c r="E39" t="s">
        <v>835</v>
      </c>
      <c r="G39" s="16" t="s">
        <v>860</v>
      </c>
      <c r="H39" s="16" t="str">
        <f>VLOOKUP(Regras[[#This Row],[ObjectID]],ExporExpressoesDimensoesPainel[[ID OBJ]:[abaname]],3,FALSE)</f>
        <v>piechart</v>
      </c>
      <c r="I39" t="str">
        <f>VLOOKUP(Regras[[#This Row],[ObjectID]],ExporExpressoesDimensoesPainel[[ID OBJ]:[abaname]],8,FALSE)</f>
        <v>Resultado Operacional</v>
      </c>
      <c r="J39" t="s">
        <v>1049</v>
      </c>
      <c r="K39" t="s">
        <v>1057</v>
      </c>
      <c r="L39" t="s">
        <v>860</v>
      </c>
    </row>
    <row r="40" spans="1:12" ht="29" x14ac:dyDescent="0.35">
      <c r="A40" s="17" t="s">
        <v>1060</v>
      </c>
      <c r="B40" s="16" t="s">
        <v>877</v>
      </c>
      <c r="C40" s="16" t="s">
        <v>889</v>
      </c>
      <c r="D40" t="s">
        <v>900</v>
      </c>
      <c r="E40" t="s">
        <v>835</v>
      </c>
      <c r="G40" s="16" t="s">
        <v>861</v>
      </c>
      <c r="H40" s="16" t="str">
        <f>VLOOKUP(Regras[[#This Row],[ObjectID]],ExporExpressoesDimensoesPainel[[ID OBJ]:[abaname]],3,FALSE)</f>
        <v>piechart</v>
      </c>
      <c r="I40" t="str">
        <f>VLOOKUP(Regras[[#This Row],[ObjectID]],ExporExpressoesDimensoesPainel[[ID OBJ]:[abaname]],8,FALSE)</f>
        <v>Resultado Operacional</v>
      </c>
      <c r="J40" t="s">
        <v>1049</v>
      </c>
      <c r="K40" t="s">
        <v>1059</v>
      </c>
      <c r="L40" t="s">
        <v>861</v>
      </c>
    </row>
    <row r="41" spans="1:12" x14ac:dyDescent="0.35">
      <c r="A41" s="17" t="s">
        <v>1063</v>
      </c>
      <c r="B41" s="16" t="s">
        <v>877</v>
      </c>
      <c r="C41" t="s">
        <v>889</v>
      </c>
      <c r="D41" t="s">
        <v>917</v>
      </c>
      <c r="E41" t="s">
        <v>835</v>
      </c>
      <c r="G41" s="16" t="s">
        <v>862</v>
      </c>
      <c r="H41" s="16" t="str">
        <f>VLOOKUP(Regras[[#This Row],[ObjectID]],ExporExpressoesDimensoesPainel[[ID OBJ]:[abaname]],3,FALSE)</f>
        <v>waterfallchart</v>
      </c>
      <c r="I41" t="str">
        <f>VLOOKUP(Regras[[#This Row],[ObjectID]],ExporExpressoesDimensoesPainel[[ID OBJ]:[abaname]],8,FALSE)</f>
        <v>Resultado Operacional</v>
      </c>
      <c r="J41" t="s">
        <v>1049</v>
      </c>
      <c r="K41" t="s">
        <v>1062</v>
      </c>
      <c r="L41" t="s">
        <v>862</v>
      </c>
    </row>
    <row r="42" spans="1:12" x14ac:dyDescent="0.35">
      <c r="A42" s="17" t="s">
        <v>1065</v>
      </c>
      <c r="B42" s="16" t="s">
        <v>877</v>
      </c>
      <c r="C42" t="s">
        <v>889</v>
      </c>
      <c r="D42" t="s">
        <v>917</v>
      </c>
      <c r="E42" t="s">
        <v>835</v>
      </c>
      <c r="G42" s="16" t="s">
        <v>863</v>
      </c>
      <c r="H42" s="16" t="str">
        <f>VLOOKUP(Regras[[#This Row],[ObjectID]],ExporExpressoesDimensoesPainel[[ID OBJ]:[abaname]],3,FALSE)</f>
        <v>waterfallchart</v>
      </c>
      <c r="I42" t="str">
        <f>VLOOKUP(Regras[[#This Row],[ObjectID]],ExporExpressoesDimensoesPainel[[ID OBJ]:[abaname]],8,FALSE)</f>
        <v>Resultado Operacional</v>
      </c>
      <c r="J42" t="s">
        <v>1049</v>
      </c>
      <c r="K42" t="s">
        <v>1064</v>
      </c>
      <c r="L42" t="s">
        <v>863</v>
      </c>
    </row>
    <row r="43" spans="1:12" x14ac:dyDescent="0.35">
      <c r="A43" s="17" t="s">
        <v>1067</v>
      </c>
      <c r="B43" s="16" t="s">
        <v>877</v>
      </c>
      <c r="C43" t="s">
        <v>889</v>
      </c>
      <c r="D43" t="s">
        <v>546</v>
      </c>
      <c r="E43" t="s">
        <v>835</v>
      </c>
      <c r="G43" s="16" t="s">
        <v>866</v>
      </c>
      <c r="H43" s="16" t="str">
        <f>VLOOKUP(Regras[[#This Row],[ObjectID]],ExporExpressoesDimensoesPainel[[ID OBJ]:[abaname]],3,FALSE)</f>
        <v>combochart</v>
      </c>
      <c r="I43" t="str">
        <f>VLOOKUP(Regras[[#This Row],[ObjectID]],ExporExpressoesDimensoesPainel[[ID OBJ]:[abaname]],8,FALSE)</f>
        <v>Resultado Operacional</v>
      </c>
      <c r="J43" t="s">
        <v>1049</v>
      </c>
      <c r="K43" t="s">
        <v>1066</v>
      </c>
      <c r="L43" t="s">
        <v>866</v>
      </c>
    </row>
    <row r="44" spans="1:12" ht="29" x14ac:dyDescent="0.35">
      <c r="A44" s="17" t="s">
        <v>1069</v>
      </c>
      <c r="B44" s="16" t="s">
        <v>877</v>
      </c>
      <c r="C44" s="16" t="s">
        <v>889</v>
      </c>
      <c r="D44" t="s">
        <v>574</v>
      </c>
      <c r="E44" t="s">
        <v>835</v>
      </c>
      <c r="G44" s="16" t="s">
        <v>869</v>
      </c>
      <c r="H44" s="16" t="str">
        <f>VLOOKUP(Regras[[#This Row],[ObjectID]],ExporExpressoesDimensoesPainel[[ID OBJ]:[abaname]],3,FALSE)</f>
        <v>linechart</v>
      </c>
      <c r="I44" t="str">
        <f>VLOOKUP(Regras[[#This Row],[ObjectID]],ExporExpressoesDimensoesPainel[[ID OBJ]:[abaname]],8,FALSE)</f>
        <v>Resultado Operacional</v>
      </c>
      <c r="J44" t="s">
        <v>1049</v>
      </c>
      <c r="K44" t="s">
        <v>1068</v>
      </c>
      <c r="L44" t="s">
        <v>869</v>
      </c>
    </row>
    <row r="45" spans="1:12" ht="15.5" x14ac:dyDescent="0.35">
      <c r="A45" s="29" t="s">
        <v>812</v>
      </c>
      <c r="B45" s="16" t="s">
        <v>817</v>
      </c>
      <c r="C45" t="s">
        <v>889</v>
      </c>
      <c r="D45" t="s">
        <v>818</v>
      </c>
      <c r="E45" t="s">
        <v>835</v>
      </c>
      <c r="G45" s="16"/>
      <c r="H45" s="16" t="e">
        <f>VLOOKUP(Regras[[#This Row],[ObjectID]],ExporExpressoesDimensoesPainel[[ID OBJ]:[abaname]],3,FALSE)</f>
        <v>#N/A</v>
      </c>
      <c r="I45" t="e">
        <f>VLOOKUP(Regras[[#This Row],[ObjectID]],ExporExpressoesDimensoesPainel[[ID OBJ]:[abaname]],8,FALSE)</f>
        <v>#N/A</v>
      </c>
    </row>
    <row r="46" spans="1:12" ht="31" x14ac:dyDescent="0.35">
      <c r="A46" s="29" t="s">
        <v>813</v>
      </c>
      <c r="B46" s="16" t="s">
        <v>817</v>
      </c>
      <c r="C46" t="s">
        <v>915</v>
      </c>
      <c r="D46" t="s">
        <v>818</v>
      </c>
      <c r="E46" t="s">
        <v>835</v>
      </c>
      <c r="G46" s="16"/>
      <c r="H46" s="16" t="e">
        <f>VLOOKUP(Regras[[#This Row],[ObjectID]],ExporExpressoesDimensoesPainel[[ID OBJ]:[abaname]],3,FALSE)</f>
        <v>#N/A</v>
      </c>
      <c r="I46" t="e">
        <f>VLOOKUP(Regras[[#This Row],[ObjectID]],ExporExpressoesDimensoesPainel[[ID OBJ]:[abaname]],8,FALSE)</f>
        <v>#N/A</v>
      </c>
    </row>
    <row r="47" spans="1:12" ht="46.5" x14ac:dyDescent="0.35">
      <c r="A47" s="29" t="s">
        <v>814</v>
      </c>
      <c r="B47" s="16" t="s">
        <v>817</v>
      </c>
      <c r="C47" t="s">
        <v>1099</v>
      </c>
      <c r="D47" t="s">
        <v>818</v>
      </c>
      <c r="E47" t="s">
        <v>835</v>
      </c>
      <c r="G47" s="16"/>
      <c r="H47" s="16" t="e">
        <f>VLOOKUP(Regras[[#This Row],[ObjectID]],ExporExpressoesDimensoesPainel[[ID OBJ]:[abaname]],3,FALSE)</f>
        <v>#N/A</v>
      </c>
      <c r="I47" t="e">
        <f>VLOOKUP(Regras[[#This Row],[ObjectID]],ExporExpressoesDimensoesPainel[[ID OBJ]:[abaname]],8,FALSE)</f>
        <v>#N/A</v>
      </c>
    </row>
    <row r="48" spans="1:12" ht="31" x14ac:dyDescent="0.35">
      <c r="A48" s="29" t="s">
        <v>815</v>
      </c>
      <c r="B48" s="16" t="s">
        <v>819</v>
      </c>
      <c r="C48" t="s">
        <v>1099</v>
      </c>
      <c r="D48" t="s">
        <v>829</v>
      </c>
      <c r="E48" t="s">
        <v>835</v>
      </c>
      <c r="G48" s="16"/>
      <c r="H48" s="16" t="e">
        <f>VLOOKUP(Regras[[#This Row],[ObjectID]],ExporExpressoesDimensoesPainel[[ID OBJ]:[abaname]],3,FALSE)</f>
        <v>#N/A</v>
      </c>
      <c r="I48" t="e">
        <f>VLOOKUP(Regras[[#This Row],[ObjectID]],ExporExpressoesDimensoesPainel[[ID OBJ]:[abaname]],8,FALSE)</f>
        <v>#N/A</v>
      </c>
    </row>
    <row r="49" spans="1:9" ht="31" x14ac:dyDescent="0.35">
      <c r="A49" s="29" t="s">
        <v>816</v>
      </c>
      <c r="B49" s="16" t="s">
        <v>820</v>
      </c>
      <c r="C49" s="16" t="s">
        <v>889</v>
      </c>
      <c r="D49" t="s">
        <v>821</v>
      </c>
      <c r="E49" t="s">
        <v>835</v>
      </c>
      <c r="G49" s="16"/>
      <c r="H49" s="16" t="e">
        <f>VLOOKUP(Regras[[#This Row],[ObjectID]],ExporExpressoesDimensoesPainel[[ID OBJ]:[abaname]],3,FALSE)</f>
        <v>#N/A</v>
      </c>
      <c r="I49" t="e">
        <f>VLOOKUP(Regras[[#This Row],[ObjectID]],ExporExpressoesDimensoesPainel[[ID OBJ]:[abaname]],8,FALSE)</f>
        <v>#N/A</v>
      </c>
    </row>
    <row r="50" spans="1:9" x14ac:dyDescent="0.35">
      <c r="A50" s="17" t="s">
        <v>822</v>
      </c>
      <c r="B50" s="16" t="s">
        <v>824</v>
      </c>
      <c r="C50" t="s">
        <v>999</v>
      </c>
      <c r="D50" t="s">
        <v>823</v>
      </c>
      <c r="E50" t="s">
        <v>835</v>
      </c>
      <c r="G50" s="16"/>
      <c r="H50" s="16" t="e">
        <f>VLOOKUP(Regras[[#This Row],[ObjectID]],ExporExpressoesDimensoesPainel[[ID OBJ]:[abaname]],3,FALSE)</f>
        <v>#N/A</v>
      </c>
      <c r="I50" t="e">
        <f>VLOOKUP(Regras[[#This Row],[ObjectID]],ExporExpressoesDimensoesPainel[[ID OBJ]:[abaname]],8,FALSE)</f>
        <v>#N/A</v>
      </c>
    </row>
    <row r="51" spans="1:9" ht="29" x14ac:dyDescent="0.35">
      <c r="A51" s="17" t="s">
        <v>832</v>
      </c>
      <c r="B51" s="16" t="s">
        <v>824</v>
      </c>
      <c r="C51" s="16" t="s">
        <v>915</v>
      </c>
      <c r="D51" t="s">
        <v>830</v>
      </c>
      <c r="E51" t="s">
        <v>834</v>
      </c>
      <c r="F51">
        <v>10</v>
      </c>
      <c r="G51" s="16"/>
      <c r="H51" s="16" t="e">
        <f>VLOOKUP(Regras[[#This Row],[ObjectID]],ExporExpressoesDimensoesPainel[[ID OBJ]:[abaname]],3,FALSE)</f>
        <v>#N/A</v>
      </c>
      <c r="I51" t="e">
        <f>VLOOKUP(Regras[[#This Row],[ObjectID]],ExporExpressoesDimensoesPainel[[ID OBJ]:[abaname]],8,FALSE)</f>
        <v>#N/A</v>
      </c>
    </row>
    <row r="52" spans="1:9" x14ac:dyDescent="0.35">
      <c r="A52" s="17" t="s">
        <v>836</v>
      </c>
      <c r="C52" s="16" t="s">
        <v>1099</v>
      </c>
      <c r="F52">
        <v>100</v>
      </c>
      <c r="H52" s="16" t="e">
        <f>VLOOKUP(Regras[[#This Row],[ObjectID]],ExporExpressoesDimensoesPainel[[ID OBJ]:[abaname]],3,FALSE)</f>
        <v>#N/A</v>
      </c>
      <c r="I52" s="16" t="e">
        <f>VLOOKUP(Regras[[#This Row],[ObjectID]],ExporExpressoesDimensoesPainel[[ID OBJ]:[abaname]],8,FALSE)</f>
        <v>#N/A</v>
      </c>
    </row>
    <row r="53" spans="1:9" x14ac:dyDescent="0.35">
      <c r="A53" s="17" t="s">
        <v>1097</v>
      </c>
      <c r="B53" s="16" t="s">
        <v>1098</v>
      </c>
      <c r="C53" t="s">
        <v>1099</v>
      </c>
      <c r="H53" s="2" t="e">
        <f>VLOOKUP(Regras[[#This Row],[ObjectID]],ExporExpressoesDimensoesPainel[[ID OBJ]:[abaname]],3,FALSE)</f>
        <v>#N/A</v>
      </c>
      <c r="I53" s="2" t="e">
        <f>VLOOKUP(Regras[[#This Row],[ObjectID]],ExporExpressoesDimensoesPainel[[ID OBJ]:[abaname]],8,FALSE)</f>
        <v>#N/A</v>
      </c>
    </row>
    <row r="54" spans="1:9" ht="29" x14ac:dyDescent="0.35">
      <c r="A54" s="48" t="s">
        <v>1100</v>
      </c>
      <c r="B54" s="45" t="s">
        <v>1098</v>
      </c>
      <c r="C54" s="45" t="s">
        <v>889</v>
      </c>
      <c r="D54" s="45"/>
      <c r="E54" s="45"/>
      <c r="F54" s="45"/>
      <c r="G54" s="46"/>
      <c r="H54" s="2" t="e">
        <f>VLOOKUP(Regras[[#This Row],[ObjectID]],ExporExpressoesDimensoesPainel[[ID OBJ]:[abaname]],3,FALSE)</f>
        <v>#N/A</v>
      </c>
      <c r="I54" s="2" t="e">
        <f>VLOOKUP(Regras[[#This Row],[ObjectID]],ExporExpressoesDimensoesPainel[[ID OBJ]:[abaname]],8,FALSE)</f>
        <v>#N/A</v>
      </c>
    </row>
    <row r="55" spans="1:9" x14ac:dyDescent="0.35">
      <c r="A55" s="47" t="s">
        <v>1102</v>
      </c>
      <c r="B55" s="41" t="s">
        <v>1103</v>
      </c>
      <c r="C55" s="41" t="s">
        <v>1104</v>
      </c>
      <c r="D55" s="42"/>
      <c r="E55" s="42"/>
      <c r="F55" s="42">
        <v>100</v>
      </c>
      <c r="G55" s="43"/>
      <c r="H55" s="2" t="e">
        <f>VLOOKUP(Regras[[#This Row],[ObjectID]],ExporExpressoesDimensoesPainel[[ID OBJ]:[abaname]],3,FALSE)</f>
        <v>#N/A</v>
      </c>
      <c r="I55" s="2" t="e">
        <f>VLOOKUP(Regras[[#This Row],[ObjectID]],ExporExpressoesDimensoesPainel[[ID OBJ]:[abaname]],8,FALSE)</f>
        <v>#N/A</v>
      </c>
    </row>
    <row r="56" spans="1:9" x14ac:dyDescent="0.35">
      <c r="A56" s="48" t="s">
        <v>1105</v>
      </c>
      <c r="B56" s="44" t="s">
        <v>1103</v>
      </c>
      <c r="C56" s="44" t="s">
        <v>1106</v>
      </c>
      <c r="D56" s="45"/>
      <c r="E56" s="45"/>
      <c r="F56" s="45"/>
      <c r="G56" s="46"/>
      <c r="H56" s="2" t="e">
        <f>VLOOKUP(Regras[[#This Row],[ObjectID]],ExporExpressoesDimensoesPainel[[ID OBJ]:[abaname]],3,FALSE)</f>
        <v>#N/A</v>
      </c>
      <c r="I56" s="2" t="e">
        <f>VLOOKUP(Regras[[#This Row],[ObjectID]],ExporExpressoesDimensoesPainel[[ID OBJ]:[abaname]],8,FALSE)</f>
        <v>#N/A</v>
      </c>
    </row>
    <row r="57" spans="1:9" x14ac:dyDescent="0.35">
      <c r="A57" s="47" t="s">
        <v>1107</v>
      </c>
      <c r="B57" s="41" t="s">
        <v>824</v>
      </c>
      <c r="C57" s="41" t="s">
        <v>1108</v>
      </c>
      <c r="D57" s="42"/>
      <c r="E57" s="42" t="s">
        <v>835</v>
      </c>
      <c r="F57" s="42"/>
      <c r="G57" s="43"/>
      <c r="H57" s="2" t="e">
        <f>VLOOKUP(Regras[[#This Row],[ObjectID]],ExporExpressoesDimensoesPainel[[ID OBJ]:[abaname]],3,FALSE)</f>
        <v>#N/A</v>
      </c>
      <c r="I57" s="2" t="e">
        <f>VLOOKUP(Regras[[#This Row],[ObjectID]],ExporExpressoesDimensoesPainel[[ID OBJ]:[abaname]],8,FALSE)</f>
        <v>#N/A</v>
      </c>
    </row>
    <row r="58" spans="1:9" ht="29" x14ac:dyDescent="0.35">
      <c r="A58" s="48" t="s">
        <v>1109</v>
      </c>
      <c r="B58" s="44" t="s">
        <v>824</v>
      </c>
      <c r="C58" s="44" t="s">
        <v>1108</v>
      </c>
      <c r="D58" s="45" t="s">
        <v>830</v>
      </c>
      <c r="E58" s="45" t="s">
        <v>834</v>
      </c>
      <c r="F58" s="45">
        <v>10</v>
      </c>
      <c r="G58" s="46"/>
      <c r="H58" s="2" t="e">
        <f>VLOOKUP(Regras[[#This Row],[ObjectID]],ExporExpressoesDimensoesPainel[[ID OBJ]:[abaname]],3,FALSE)</f>
        <v>#N/A</v>
      </c>
      <c r="I58" s="2" t="e">
        <f>VLOOKUP(Regras[[#This Row],[ObjectID]],ExporExpressoesDimensoesPainel[[ID OBJ]:[abaname]],8,FALSE)</f>
        <v>#N/A</v>
      </c>
    </row>
    <row r="59" spans="1:9" x14ac:dyDescent="0.35">
      <c r="A59" s="47" t="s">
        <v>1110</v>
      </c>
      <c r="B59" s="41" t="s">
        <v>827</v>
      </c>
      <c r="C59" s="41" t="s">
        <v>1111</v>
      </c>
      <c r="D59" s="42"/>
      <c r="E59" s="42"/>
      <c r="F59" s="42"/>
      <c r="G59" s="43"/>
      <c r="H59" s="2" t="e">
        <f>VLOOKUP(Regras[[#This Row],[ObjectID]],ExporExpressoesDimensoesPainel[[ID OBJ]:[abaname]],3,FALSE)</f>
        <v>#N/A</v>
      </c>
      <c r="I59" s="2" t="e">
        <f>VLOOKUP(Regras[[#This Row],[ObjectID]],ExporExpressoesDimensoesPainel[[ID OBJ]:[abaname]],8,FALSE)</f>
        <v>#N/A</v>
      </c>
    </row>
    <row r="60" spans="1:9" x14ac:dyDescent="0.35">
      <c r="A60" s="48" t="s">
        <v>1112</v>
      </c>
      <c r="B60" s="44" t="s">
        <v>827</v>
      </c>
      <c r="C60" s="44" t="s">
        <v>1113</v>
      </c>
      <c r="D60" s="45"/>
      <c r="E60" s="45"/>
      <c r="F60" s="45"/>
      <c r="G60" s="46"/>
      <c r="H60" s="2" t="e">
        <f>VLOOKUP(Regras[[#This Row],[ObjectID]],ExporExpressoesDimensoesPainel[[ID OBJ]:[abaname]],3,FALSE)</f>
        <v>#N/A</v>
      </c>
      <c r="I60" s="2" t="e">
        <f>VLOOKUP(Regras[[#This Row],[ObjectID]],ExporExpressoesDimensoesPainel[[ID OBJ]:[abaname]],8,FALSE)</f>
        <v>#N/A</v>
      </c>
    </row>
    <row r="61" spans="1:9" x14ac:dyDescent="0.35">
      <c r="A61" s="47" t="s">
        <v>1114</v>
      </c>
      <c r="B61" s="41" t="s">
        <v>827</v>
      </c>
      <c r="C61" s="41" t="s">
        <v>1115</v>
      </c>
      <c r="D61" s="42"/>
      <c r="E61" s="42"/>
      <c r="F61" s="42"/>
      <c r="G61" s="43"/>
      <c r="H61" s="2" t="e">
        <f>VLOOKUP(Regras[[#This Row],[ObjectID]],ExporExpressoesDimensoesPainel[[ID OBJ]:[abaname]],3,FALSE)</f>
        <v>#N/A</v>
      </c>
      <c r="I61" s="2" t="e">
        <f>VLOOKUP(Regras[[#This Row],[ObjectID]],ExporExpressoesDimensoesPainel[[ID OBJ]:[abaname]],8,FALSE)</f>
        <v>#N/A</v>
      </c>
    </row>
    <row r="62" spans="1:9" ht="31" x14ac:dyDescent="0.35">
      <c r="A62" s="50" t="s">
        <v>815</v>
      </c>
      <c r="B62" s="41" t="s">
        <v>1117</v>
      </c>
      <c r="C62" s="41" t="s">
        <v>1120</v>
      </c>
      <c r="D62" s="42" t="s">
        <v>829</v>
      </c>
      <c r="E62" s="42" t="s">
        <v>835</v>
      </c>
      <c r="F62" s="42"/>
      <c r="G62" s="43"/>
      <c r="H62" s="2" t="e">
        <f>VLOOKUP(Regras[[#This Row],[ObjectID]],ExporExpressoesDimensoesPainel[[ID OBJ]:[abaname]],3,FALSE)</f>
        <v>#N/A</v>
      </c>
      <c r="I62" s="2" t="e">
        <f>VLOOKUP(Regras[[#This Row],[ObjectID]],ExporExpressoesDimensoesPainel[[ID OBJ]:[abaname]],8,FALSE)</f>
        <v>#N/A</v>
      </c>
    </row>
    <row r="63" spans="1:9" ht="31" x14ac:dyDescent="0.35">
      <c r="A63" s="49" t="s">
        <v>816</v>
      </c>
      <c r="B63" s="44" t="s">
        <v>1117</v>
      </c>
      <c r="C63" s="44" t="s">
        <v>1121</v>
      </c>
      <c r="D63" s="45" t="s">
        <v>821</v>
      </c>
      <c r="E63" s="45" t="s">
        <v>835</v>
      </c>
      <c r="F63" s="45"/>
      <c r="G63" s="46"/>
      <c r="H63" s="2" t="e">
        <f>VLOOKUP(Regras[[#This Row],[ObjectID]],ExporExpressoesDimensoesPainel[[ID OBJ]:[abaname]],3,FALSE)</f>
        <v>#N/A</v>
      </c>
      <c r="I63" s="2" t="e">
        <f>VLOOKUP(Regras[[#This Row],[ObjectID]],ExporExpressoesDimensoesPainel[[ID OBJ]:[abaname]],8,FALSE)</f>
        <v>#N/A</v>
      </c>
    </row>
    <row r="64" spans="1:9" ht="15.5" x14ac:dyDescent="0.35">
      <c r="A64" s="50" t="s">
        <v>812</v>
      </c>
      <c r="B64" s="41" t="s">
        <v>1122</v>
      </c>
      <c r="C64" s="41" t="s">
        <v>817</v>
      </c>
      <c r="D64" s="42" t="s">
        <v>818</v>
      </c>
      <c r="E64" s="42" t="s">
        <v>835</v>
      </c>
      <c r="F64" s="42"/>
      <c r="G64" s="43"/>
      <c r="H64" s="2" t="e">
        <f>VLOOKUP(Regras[[#This Row],[ObjectID]],ExporExpressoesDimensoesPainel[[ID OBJ]:[abaname]],3,FALSE)</f>
        <v>#N/A</v>
      </c>
      <c r="I64" s="2" t="e">
        <f>VLOOKUP(Regras[[#This Row],[ObjectID]],ExporExpressoesDimensoesPainel[[ID OBJ]:[abaname]],8,FALSE)</f>
        <v>#N/A</v>
      </c>
    </row>
    <row r="65" spans="1:12" ht="31" x14ac:dyDescent="0.35">
      <c r="A65" s="49" t="s">
        <v>813</v>
      </c>
      <c r="B65" s="44" t="s">
        <v>1122</v>
      </c>
      <c r="C65" s="44" t="s">
        <v>817</v>
      </c>
      <c r="D65" s="45" t="s">
        <v>818</v>
      </c>
      <c r="E65" s="45" t="s">
        <v>835</v>
      </c>
      <c r="F65" s="45"/>
      <c r="G65" s="46"/>
      <c r="H65" s="2" t="e">
        <f>VLOOKUP(Regras[[#This Row],[ObjectID]],ExporExpressoesDimensoesPainel[[ID OBJ]:[abaname]],3,FALSE)</f>
        <v>#N/A</v>
      </c>
      <c r="I65" s="2" t="e">
        <f>VLOOKUP(Regras[[#This Row],[ObjectID]],ExporExpressoesDimensoesPainel[[ID OBJ]:[abaname]],8,FALSE)</f>
        <v>#N/A</v>
      </c>
    </row>
    <row r="66" spans="1:12" ht="46.5" x14ac:dyDescent="0.35">
      <c r="A66" s="50" t="s">
        <v>814</v>
      </c>
      <c r="B66" s="41" t="s">
        <v>1122</v>
      </c>
      <c r="C66" s="41" t="s">
        <v>817</v>
      </c>
      <c r="D66" s="42" t="s">
        <v>818</v>
      </c>
      <c r="E66" s="42" t="s">
        <v>835</v>
      </c>
      <c r="F66" s="42"/>
      <c r="G66" s="43"/>
      <c r="H66" s="2" t="e">
        <f>VLOOKUP(Regras[[#This Row],[ObjectID]],ExporExpressoesDimensoesPainel[[ID OBJ]:[abaname]],3,FALSE)</f>
        <v>#N/A</v>
      </c>
      <c r="I66" s="2" t="e">
        <f>VLOOKUP(Regras[[#This Row],[ObjectID]],ExporExpressoesDimensoesPainel[[ID OBJ]:[abaname]],8,FALSE)</f>
        <v>#N/A</v>
      </c>
    </row>
    <row r="67" spans="1:12" x14ac:dyDescent="0.35">
      <c r="A67" s="48" t="s">
        <v>1123</v>
      </c>
      <c r="B67" s="44" t="s">
        <v>833</v>
      </c>
      <c r="C67" s="44" t="s">
        <v>1124</v>
      </c>
      <c r="D67" s="45"/>
      <c r="E67" s="45"/>
      <c r="F67" s="45"/>
      <c r="G67" s="46"/>
      <c r="H67" s="2" t="e">
        <f>VLOOKUP(Regras[[#This Row],[ObjectID]],ExporExpressoesDimensoesPainel[[ID OBJ]:[abaname]],3,FALSE)</f>
        <v>#N/A</v>
      </c>
      <c r="I67" s="2" t="e">
        <f>VLOOKUP(Regras[[#This Row],[ObjectID]],ExporExpressoesDimensoesPainel[[ID OBJ]:[abaname]],8,FALSE)</f>
        <v>#N/A</v>
      </c>
    </row>
    <row r="68" spans="1:12" x14ac:dyDescent="0.35">
      <c r="A68" s="47" t="s">
        <v>1125</v>
      </c>
      <c r="B68" s="41" t="s">
        <v>833</v>
      </c>
      <c r="C68" s="41" t="s">
        <v>1126</v>
      </c>
      <c r="D68" s="42"/>
      <c r="E68" s="42"/>
      <c r="F68" s="42"/>
      <c r="G68" s="43"/>
      <c r="H68" s="2" t="e">
        <f>VLOOKUP(Regras[[#This Row],[ObjectID]],ExporExpressoesDimensoesPainel[[ID OBJ]:[abaname]],3,FALSE)</f>
        <v>#N/A</v>
      </c>
      <c r="I68" s="2" t="e">
        <f>VLOOKUP(Regras[[#This Row],[ObjectID]],ExporExpressoesDimensoesPainel[[ID OBJ]:[abaname]],8,FALSE)</f>
        <v>#N/A</v>
      </c>
    </row>
    <row r="69" spans="1:12" ht="29" x14ac:dyDescent="0.35">
      <c r="A69" s="48" t="s">
        <v>1127</v>
      </c>
      <c r="B69" s="44" t="s">
        <v>833</v>
      </c>
      <c r="C69" s="44" t="s">
        <v>1128</v>
      </c>
      <c r="D69" s="45"/>
      <c r="E69" s="45"/>
      <c r="F69" s="45"/>
      <c r="G69" s="46"/>
      <c r="H69" s="2" t="e">
        <f>VLOOKUP(Regras[[#This Row],[ObjectID]],ExporExpressoesDimensoesPainel[[ID OBJ]:[abaname]],3,FALSE)</f>
        <v>#N/A</v>
      </c>
      <c r="I69" s="2" t="e">
        <f>VLOOKUP(Regras[[#This Row],[ObjectID]],ExporExpressoesDimensoesPainel[[ID OBJ]:[abaname]],8,FALSE)</f>
        <v>#N/A</v>
      </c>
    </row>
    <row r="70" spans="1:12" x14ac:dyDescent="0.35">
      <c r="A70" s="47" t="s">
        <v>1129</v>
      </c>
      <c r="B70" s="41" t="s">
        <v>833</v>
      </c>
      <c r="C70" s="41" t="s">
        <v>1130</v>
      </c>
      <c r="D70" s="42"/>
      <c r="E70" s="42"/>
      <c r="F70" s="42"/>
      <c r="G70" s="43"/>
      <c r="H70" s="2" t="e">
        <f>VLOOKUP(Regras[[#This Row],[ObjectID]],ExporExpressoesDimensoesPainel[[ID OBJ]:[abaname]],3,FALSE)</f>
        <v>#N/A</v>
      </c>
      <c r="I70" s="2" t="e">
        <f>VLOOKUP(Regras[[#This Row],[ObjectID]],ExporExpressoesDimensoesPainel[[ID OBJ]:[abaname]],8,FALSE)</f>
        <v>#N/A</v>
      </c>
    </row>
    <row r="71" spans="1:12" x14ac:dyDescent="0.35">
      <c r="A71" s="48" t="s">
        <v>1131</v>
      </c>
      <c r="B71" s="44" t="s">
        <v>1132</v>
      </c>
      <c r="C71" s="44" t="s">
        <v>1133</v>
      </c>
      <c r="D71" s="45"/>
      <c r="E71" s="45"/>
      <c r="F71" s="45"/>
      <c r="G71" s="46"/>
      <c r="H71" s="2" t="e">
        <f>VLOOKUP(Regras[[#This Row],[ObjectID]],ExporExpressoesDimensoesPainel[[ID OBJ]:[abaname]],3,FALSE)</f>
        <v>#N/A</v>
      </c>
      <c r="I71" s="2" t="e">
        <f>VLOOKUP(Regras[[#This Row],[ObjectID]],ExporExpressoesDimensoesPainel[[ID OBJ]:[abaname]],8,FALSE)</f>
        <v>#N/A</v>
      </c>
    </row>
    <row r="72" spans="1:12" x14ac:dyDescent="0.35">
      <c r="A72" s="51" t="s">
        <v>1134</v>
      </c>
      <c r="B72" s="52" t="s">
        <v>1132</v>
      </c>
      <c r="C72" s="52" t="s">
        <v>1135</v>
      </c>
      <c r="D72" s="53"/>
      <c r="E72" s="53"/>
      <c r="F72" s="53"/>
      <c r="G72" s="54"/>
      <c r="H72" s="3" t="e">
        <f>VLOOKUP(Regras[[#This Row],[ObjectID]],ExporExpressoesDimensoesPainel[[ID OBJ]:[abaname]],3,FALSE)</f>
        <v>#N/A</v>
      </c>
      <c r="I72" s="3" t="e">
        <f>VLOOKUP(Regras[[#This Row],[ObjectID]],ExporExpressoesDimensoesPainel[[ID OBJ]:[abaname]],8,FALSE)</f>
        <v>#N/A</v>
      </c>
      <c r="J72" s="1"/>
      <c r="K72" s="1"/>
    </row>
    <row r="73" spans="1:12" x14ac:dyDescent="0.35">
      <c r="A73" s="17" t="s">
        <v>871</v>
      </c>
      <c r="B73" s="16" t="s">
        <v>877</v>
      </c>
      <c r="C73" t="s">
        <v>889</v>
      </c>
      <c r="D73" t="s">
        <v>574</v>
      </c>
      <c r="E73" t="s">
        <v>835</v>
      </c>
      <c r="G73" s="16" t="s">
        <v>870</v>
      </c>
      <c r="H73" s="16" t="str">
        <f>VLOOKUP(Regras[[#This Row],[ObjectID]],ExporExpressoesDimensoesPainel[[ID OBJ]:[abaname]],3,FALSE)</f>
        <v>linechart</v>
      </c>
      <c r="I73" s="16" t="str">
        <f>VLOOKUP(Regras[[#This Row],[ObjectID]],ExporExpressoesDimensoesPainel[[ID OBJ]:[abaname]],8,FALSE)</f>
        <v>Resultado Operacional</v>
      </c>
      <c r="J73" t="s">
        <v>1049</v>
      </c>
      <c r="K73" t="s">
        <v>1070</v>
      </c>
      <c r="L73" t="s">
        <v>870</v>
      </c>
    </row>
    <row r="74" spans="1:12" x14ac:dyDescent="0.35">
      <c r="A74" s="17" t="s">
        <v>873</v>
      </c>
      <c r="B74" s="16" t="s">
        <v>877</v>
      </c>
      <c r="C74" t="s">
        <v>889</v>
      </c>
      <c r="D74" t="s">
        <v>574</v>
      </c>
      <c r="E74" t="s">
        <v>835</v>
      </c>
      <c r="G74" s="16" t="s">
        <v>872</v>
      </c>
      <c r="H74" s="16" t="str">
        <f>VLOOKUP(Regras[[#This Row],[ObjectID]],ExporExpressoesDimensoesPainel[[ID OBJ]:[abaname]],3,FALSE)</f>
        <v>linechart</v>
      </c>
      <c r="I74" s="16" t="str">
        <f>VLOOKUP(Regras[[#This Row],[ObjectID]],ExporExpressoesDimensoesPainel[[ID OBJ]:[abaname]],8,FALSE)</f>
        <v>Resultado Operacional</v>
      </c>
      <c r="J74" t="s">
        <v>1049</v>
      </c>
      <c r="K74" t="s">
        <v>1071</v>
      </c>
      <c r="L74" t="s">
        <v>872</v>
      </c>
    </row>
    <row r="75" spans="1:12" x14ac:dyDescent="0.35">
      <c r="B75" s="16" t="s">
        <v>877</v>
      </c>
      <c r="C75" t="s">
        <v>889</v>
      </c>
      <c r="D75" t="s">
        <v>527</v>
      </c>
      <c r="G75" s="17" t="s">
        <v>890</v>
      </c>
      <c r="H75" s="16" t="str">
        <f>VLOOKUP(Regras[[#This Row],[ObjectID]],ExporExpressoesDimensoesPainel[[ID OBJ]:[abaname]],3,FALSE)</f>
        <v>qsSimpleKPI</v>
      </c>
      <c r="I75" s="16" t="str">
        <f>VLOOKUP(Regras[[#This Row],[ObjectID]],ExporExpressoesDimensoesPainel[[ID OBJ]:[abaname]],8,FALSE)</f>
        <v>Resultado Operacional</v>
      </c>
    </row>
    <row r="76" spans="1:12" x14ac:dyDescent="0.35">
      <c r="A76" s="17" t="s">
        <v>868</v>
      </c>
      <c r="B76" s="16" t="s">
        <v>877</v>
      </c>
      <c r="C76" t="s">
        <v>889</v>
      </c>
      <c r="D76" t="s">
        <v>584</v>
      </c>
      <c r="E76" t="s">
        <v>835</v>
      </c>
      <c r="G76" s="16" t="s">
        <v>867</v>
      </c>
      <c r="H76" s="16" t="str">
        <f>VLOOKUP(Regras[[#This Row],[ObjectID]],ExporExpressoesDimensoesPainel[[ID OBJ]:[abaname]],3,FALSE)</f>
        <v>pivot-table</v>
      </c>
      <c r="I76" s="16" t="str">
        <f>VLOOKUP(Regras[[#This Row],[ObjectID]],ExporExpressoesDimensoesPainel[[ID OBJ]:[abaname]],8,FALSE)</f>
        <v>Resultado Operacional</v>
      </c>
      <c r="K76" t="s">
        <v>1156</v>
      </c>
      <c r="L76" t="s">
        <v>867</v>
      </c>
    </row>
    <row r="77" spans="1:12" x14ac:dyDescent="0.35">
      <c r="A77" s="17" t="s">
        <v>855</v>
      </c>
      <c r="B77" s="16" t="s">
        <v>877</v>
      </c>
      <c r="C77" t="s">
        <v>889</v>
      </c>
      <c r="D77" t="s">
        <v>528</v>
      </c>
      <c r="E77" t="s">
        <v>835</v>
      </c>
      <c r="G77" t="s">
        <v>856</v>
      </c>
      <c r="H77" s="16" t="str">
        <f>VLOOKUP(Regras[[#This Row],[ObjectID]],ExporExpressoesDimensoesPainel[[ID OBJ]:[abaname]],3,FALSE)</f>
        <v>filterpane</v>
      </c>
      <c r="I77" s="16" t="str">
        <f>VLOOKUP(Regras[[#This Row],[ObjectID]],ExporExpressoesDimensoesPainel[[ID OBJ]:[abaname]],8,FALSE)</f>
        <v>Resultado Operacional</v>
      </c>
      <c r="K77" t="s">
        <v>1155</v>
      </c>
      <c r="L77" t="s">
        <v>856</v>
      </c>
    </row>
    <row r="78" spans="1:12" x14ac:dyDescent="0.35">
      <c r="G78" t="s">
        <v>1151</v>
      </c>
      <c r="H78" s="2" t="str">
        <f>VLOOKUP(Regras[[#This Row],[ObjectID]],ExporExpressoesDimensoesPainel[[ID OBJ]:[abaname]],3,FALSE)</f>
        <v>linechart</v>
      </c>
      <c r="I78" s="2" t="str">
        <f>VLOOKUP(Regras[[#This Row],[ObjectID]],ExporExpressoesDimensoesPainel[[ID OBJ]:[abaname]],8,FALSE)</f>
        <v>Resultado Operacional</v>
      </c>
      <c r="L78" t="s">
        <v>1151</v>
      </c>
    </row>
    <row r="79" spans="1:12" x14ac:dyDescent="0.35">
      <c r="H79" s="16"/>
    </row>
    <row r="80" spans="1:12" x14ac:dyDescent="0.35">
      <c r="H80" s="16"/>
    </row>
    <row r="81" spans="8:8" x14ac:dyDescent="0.35">
      <c r="H81" s="16"/>
    </row>
    <row r="82" spans="8:8" x14ac:dyDescent="0.35">
      <c r="H82" s="16"/>
    </row>
    <row r="83" spans="8:8" x14ac:dyDescent="0.35">
      <c r="H83" s="16"/>
    </row>
    <row r="84" spans="8:8" x14ac:dyDescent="0.35">
      <c r="H84" s="16"/>
    </row>
    <row r="85" spans="8:8" x14ac:dyDescent="0.35">
      <c r="H85" s="16"/>
    </row>
    <row r="86" spans="8:8" x14ac:dyDescent="0.35">
      <c r="H86" s="16"/>
    </row>
    <row r="87" spans="8:8" x14ac:dyDescent="0.35">
      <c r="H87" s="16"/>
    </row>
    <row r="88" spans="8:8" x14ac:dyDescent="0.35">
      <c r="H88" s="16"/>
    </row>
    <row r="89" spans="8:8" x14ac:dyDescent="0.35">
      <c r="H89" s="16"/>
    </row>
    <row r="90" spans="8:8" x14ac:dyDescent="0.35">
      <c r="H90" s="16"/>
    </row>
    <row r="91" spans="8:8" x14ac:dyDescent="0.35">
      <c r="H91" s="16"/>
    </row>
    <row r="92" spans="8:8" x14ac:dyDescent="0.35">
      <c r="H92" s="16"/>
    </row>
    <row r="93" spans="8:8" x14ac:dyDescent="0.35">
      <c r="H93" s="16"/>
    </row>
    <row r="94" spans="8:8" x14ac:dyDescent="0.35">
      <c r="H94" s="16"/>
    </row>
    <row r="95" spans="8:8" x14ac:dyDescent="0.35">
      <c r="H95" s="16"/>
    </row>
    <row r="96" spans="8:8" x14ac:dyDescent="0.35">
      <c r="H96" s="16"/>
    </row>
    <row r="97" spans="8:8" x14ac:dyDescent="0.35">
      <c r="H97" s="16"/>
    </row>
    <row r="98" spans="8:8" x14ac:dyDescent="0.35">
      <c r="H98" s="16"/>
    </row>
    <row r="99" spans="8:8" x14ac:dyDescent="0.35">
      <c r="H99" s="16"/>
    </row>
    <row r="100" spans="8:8" x14ac:dyDescent="0.35">
      <c r="H100" s="16"/>
    </row>
    <row r="101" spans="8:8" x14ac:dyDescent="0.35">
      <c r="H101" s="16"/>
    </row>
    <row r="102" spans="8:8" x14ac:dyDescent="0.35">
      <c r="H102" s="16"/>
    </row>
    <row r="103" spans="8:8" x14ac:dyDescent="0.35">
      <c r="H103" s="16"/>
    </row>
    <row r="104" spans="8:8" x14ac:dyDescent="0.35">
      <c r="H104" s="16"/>
    </row>
    <row r="105" spans="8:8" x14ac:dyDescent="0.35">
      <c r="H105" s="16"/>
    </row>
    <row r="106" spans="8:8" x14ac:dyDescent="0.35">
      <c r="H106" s="16"/>
    </row>
    <row r="107" spans="8:8" x14ac:dyDescent="0.35">
      <c r="H107" s="16"/>
    </row>
    <row r="108" spans="8:8" x14ac:dyDescent="0.35">
      <c r="H108" s="16"/>
    </row>
    <row r="109" spans="8:8" x14ac:dyDescent="0.35">
      <c r="H109" s="16"/>
    </row>
    <row r="110" spans="8:8" x14ac:dyDescent="0.35">
      <c r="H110" s="16"/>
    </row>
    <row r="111" spans="8:8" x14ac:dyDescent="0.35">
      <c r="H111" s="16"/>
    </row>
    <row r="112" spans="8:8" x14ac:dyDescent="0.35">
      <c r="H112" s="16"/>
    </row>
    <row r="113" spans="8:8" x14ac:dyDescent="0.35">
      <c r="H113" s="16"/>
    </row>
    <row r="114" spans="8:8" x14ac:dyDescent="0.35">
      <c r="H114" s="16"/>
    </row>
    <row r="115" spans="8:8" x14ac:dyDescent="0.35">
      <c r="H115" s="16"/>
    </row>
    <row r="116" spans="8:8" x14ac:dyDescent="0.35">
      <c r="H116" s="16"/>
    </row>
    <row r="117" spans="8:8" x14ac:dyDescent="0.35">
      <c r="H117" s="16"/>
    </row>
    <row r="118" spans="8:8" x14ac:dyDescent="0.35">
      <c r="H118" s="16"/>
    </row>
    <row r="119" spans="8:8" x14ac:dyDescent="0.35">
      <c r="H119" s="16"/>
    </row>
    <row r="120" spans="8:8" x14ac:dyDescent="0.35">
      <c r="H120" s="16"/>
    </row>
    <row r="121" spans="8:8" x14ac:dyDescent="0.35">
      <c r="H121" s="16"/>
    </row>
    <row r="122" spans="8:8" x14ac:dyDescent="0.35">
      <c r="H122" s="16"/>
    </row>
    <row r="123" spans="8:8" x14ac:dyDescent="0.35">
      <c r="H123" s="16"/>
    </row>
    <row r="124" spans="8:8" x14ac:dyDescent="0.35">
      <c r="H124" s="16"/>
    </row>
    <row r="125" spans="8:8" x14ac:dyDescent="0.35">
      <c r="H125" s="16"/>
    </row>
    <row r="126" spans="8:8" x14ac:dyDescent="0.35">
      <c r="H126" s="16"/>
    </row>
    <row r="127" spans="8:8" x14ac:dyDescent="0.35">
      <c r="H127" s="16"/>
    </row>
    <row r="128" spans="8:8" x14ac:dyDescent="0.35">
      <c r="H128" s="16"/>
    </row>
    <row r="129" spans="8:8" x14ac:dyDescent="0.35">
      <c r="H129" s="16"/>
    </row>
    <row r="130" spans="8:8" x14ac:dyDescent="0.35">
      <c r="H130" s="16"/>
    </row>
    <row r="131" spans="8:8" x14ac:dyDescent="0.35">
      <c r="H131" s="16"/>
    </row>
    <row r="132" spans="8:8" x14ac:dyDescent="0.35">
      <c r="H132" s="16"/>
    </row>
    <row r="133" spans="8:8" x14ac:dyDescent="0.35">
      <c r="H133" s="16"/>
    </row>
    <row r="134" spans="8:8" x14ac:dyDescent="0.35">
      <c r="H134" s="16"/>
    </row>
    <row r="135" spans="8:8" x14ac:dyDescent="0.35">
      <c r="H135" s="16"/>
    </row>
    <row r="136" spans="8:8" x14ac:dyDescent="0.35">
      <c r="H136" s="16"/>
    </row>
    <row r="137" spans="8:8" x14ac:dyDescent="0.35">
      <c r="H137" s="16"/>
    </row>
    <row r="138" spans="8:8" x14ac:dyDescent="0.35">
      <c r="H138" s="16"/>
    </row>
    <row r="139" spans="8:8" x14ac:dyDescent="0.35">
      <c r="H139" s="16"/>
    </row>
    <row r="140" spans="8:8" x14ac:dyDescent="0.35">
      <c r="H140" s="16"/>
    </row>
    <row r="141" spans="8:8" x14ac:dyDescent="0.35">
      <c r="H141" s="16"/>
    </row>
    <row r="142" spans="8:8" x14ac:dyDescent="0.35">
      <c r="H142" s="16"/>
    </row>
    <row r="143" spans="8:8" x14ac:dyDescent="0.35">
      <c r="H143" s="16"/>
    </row>
    <row r="144" spans="8:8" x14ac:dyDescent="0.35">
      <c r="H144" s="16"/>
    </row>
    <row r="145" spans="8:8" x14ac:dyDescent="0.35">
      <c r="H145" s="16"/>
    </row>
    <row r="146" spans="8:8" x14ac:dyDescent="0.35">
      <c r="H146" s="16"/>
    </row>
    <row r="147" spans="8:8" x14ac:dyDescent="0.35">
      <c r="H147" s="16"/>
    </row>
    <row r="148" spans="8:8" x14ac:dyDescent="0.35">
      <c r="H148" s="16"/>
    </row>
    <row r="149" spans="8:8" x14ac:dyDescent="0.35">
      <c r="H149" s="16"/>
    </row>
    <row r="150" spans="8:8" x14ac:dyDescent="0.35">
      <c r="H150" s="16"/>
    </row>
    <row r="151" spans="8:8" x14ac:dyDescent="0.35">
      <c r="H151" s="16"/>
    </row>
    <row r="152" spans="8:8" x14ac:dyDescent="0.35">
      <c r="H152" s="16"/>
    </row>
    <row r="153" spans="8:8" x14ac:dyDescent="0.35">
      <c r="H153" s="16"/>
    </row>
    <row r="154" spans="8:8" x14ac:dyDescent="0.35">
      <c r="H154" s="16"/>
    </row>
    <row r="155" spans="8:8" x14ac:dyDescent="0.35">
      <c r="H155" s="16"/>
    </row>
    <row r="156" spans="8:8" x14ac:dyDescent="0.35">
      <c r="H156" s="16"/>
    </row>
    <row r="157" spans="8:8" x14ac:dyDescent="0.35">
      <c r="H157" s="16"/>
    </row>
    <row r="158" spans="8:8" x14ac:dyDescent="0.35">
      <c r="H158" s="16"/>
    </row>
    <row r="159" spans="8:8" x14ac:dyDescent="0.35">
      <c r="H159" s="16"/>
    </row>
    <row r="160" spans="8:8" x14ac:dyDescent="0.35">
      <c r="H160" s="16"/>
    </row>
    <row r="161" spans="8:8" x14ac:dyDescent="0.35">
      <c r="H161" s="16"/>
    </row>
    <row r="162" spans="8:8" x14ac:dyDescent="0.35">
      <c r="H162" s="16"/>
    </row>
    <row r="163" spans="8:8" x14ac:dyDescent="0.35">
      <c r="H163" s="16"/>
    </row>
    <row r="164" spans="8:8" x14ac:dyDescent="0.35">
      <c r="H164" s="16"/>
    </row>
    <row r="165" spans="8:8" x14ac:dyDescent="0.35">
      <c r="H165" s="16"/>
    </row>
    <row r="166" spans="8:8" x14ac:dyDescent="0.35">
      <c r="H166" s="16"/>
    </row>
    <row r="167" spans="8:8" x14ac:dyDescent="0.35">
      <c r="H167" s="16"/>
    </row>
    <row r="168" spans="8:8" x14ac:dyDescent="0.35">
      <c r="H168" s="16"/>
    </row>
    <row r="169" spans="8:8" x14ac:dyDescent="0.35">
      <c r="H169" s="16"/>
    </row>
    <row r="170" spans="8:8" x14ac:dyDescent="0.35">
      <c r="H170" s="16"/>
    </row>
    <row r="171" spans="8:8" x14ac:dyDescent="0.35">
      <c r="H171" s="16"/>
    </row>
    <row r="172" spans="8:8" x14ac:dyDescent="0.35">
      <c r="H172" s="16"/>
    </row>
    <row r="173" spans="8:8" x14ac:dyDescent="0.35">
      <c r="H173" s="16"/>
    </row>
    <row r="174" spans="8:8" x14ac:dyDescent="0.35">
      <c r="H174" s="16"/>
    </row>
    <row r="175" spans="8:8" x14ac:dyDescent="0.35">
      <c r="H175" s="16"/>
    </row>
    <row r="176" spans="8:8" x14ac:dyDescent="0.35">
      <c r="H176" s="16"/>
    </row>
    <row r="177" spans="8:8" x14ac:dyDescent="0.35">
      <c r="H177" s="16"/>
    </row>
    <row r="178" spans="8:8" x14ac:dyDescent="0.35">
      <c r="H178" s="16"/>
    </row>
    <row r="179" spans="8:8" x14ac:dyDescent="0.35">
      <c r="H179" s="16"/>
    </row>
    <row r="180" spans="8:8" x14ac:dyDescent="0.35">
      <c r="H180" s="16"/>
    </row>
    <row r="181" spans="8:8" x14ac:dyDescent="0.35">
      <c r="H181" s="16"/>
    </row>
    <row r="182" spans="8:8" x14ac:dyDescent="0.35">
      <c r="H182" s="16"/>
    </row>
    <row r="183" spans="8:8" x14ac:dyDescent="0.35">
      <c r="H183" s="16"/>
    </row>
    <row r="184" spans="8:8" x14ac:dyDescent="0.35">
      <c r="H184" s="16"/>
    </row>
    <row r="185" spans="8:8" x14ac:dyDescent="0.35">
      <c r="H185" s="16"/>
    </row>
    <row r="186" spans="8:8" x14ac:dyDescent="0.35">
      <c r="H186" s="16"/>
    </row>
    <row r="187" spans="8:8" x14ac:dyDescent="0.35">
      <c r="H187" s="16"/>
    </row>
    <row r="188" spans="8:8" x14ac:dyDescent="0.35">
      <c r="H188" s="16"/>
    </row>
    <row r="189" spans="8:8" x14ac:dyDescent="0.35">
      <c r="H189" s="16"/>
    </row>
    <row r="190" spans="8:8" x14ac:dyDescent="0.35">
      <c r="H190" s="16"/>
    </row>
    <row r="191" spans="8:8" x14ac:dyDescent="0.35">
      <c r="H191" s="16"/>
    </row>
    <row r="192" spans="8:8" x14ac:dyDescent="0.35">
      <c r="H192" s="16"/>
    </row>
    <row r="193" spans="8:8" x14ac:dyDescent="0.35">
      <c r="H193" s="16"/>
    </row>
    <row r="194" spans="8:8" x14ac:dyDescent="0.35">
      <c r="H194" s="16"/>
    </row>
    <row r="195" spans="8:8" x14ac:dyDescent="0.35">
      <c r="H195" s="16"/>
    </row>
    <row r="196" spans="8:8" x14ac:dyDescent="0.35">
      <c r="H196" s="16"/>
    </row>
    <row r="197" spans="8:8" x14ac:dyDescent="0.35">
      <c r="H197" s="16"/>
    </row>
    <row r="198" spans="8:8" x14ac:dyDescent="0.35">
      <c r="H198" s="16"/>
    </row>
    <row r="199" spans="8:8" x14ac:dyDescent="0.35">
      <c r="H199" s="16"/>
    </row>
    <row r="200" spans="8:8" x14ac:dyDescent="0.35">
      <c r="H200" s="16"/>
    </row>
    <row r="201" spans="8:8" x14ac:dyDescent="0.35">
      <c r="H201" s="16"/>
    </row>
    <row r="202" spans="8:8" x14ac:dyDescent="0.35">
      <c r="H202" s="16"/>
    </row>
    <row r="203" spans="8:8" x14ac:dyDescent="0.35">
      <c r="H203" s="16"/>
    </row>
    <row r="204" spans="8:8" x14ac:dyDescent="0.35">
      <c r="H204" s="16"/>
    </row>
    <row r="205" spans="8:8" x14ac:dyDescent="0.35">
      <c r="H205" s="16"/>
    </row>
    <row r="206" spans="8:8" x14ac:dyDescent="0.35">
      <c r="H206" s="16"/>
    </row>
    <row r="207" spans="8:8" x14ac:dyDescent="0.35">
      <c r="H207" s="16"/>
    </row>
    <row r="208" spans="8:8" x14ac:dyDescent="0.35">
      <c r="H208" s="16"/>
    </row>
    <row r="209" spans="8:8" x14ac:dyDescent="0.35">
      <c r="H209" s="16"/>
    </row>
    <row r="210" spans="8:8" x14ac:dyDescent="0.35">
      <c r="H210" s="16"/>
    </row>
    <row r="211" spans="8:8" x14ac:dyDescent="0.35">
      <c r="H211" s="16"/>
    </row>
    <row r="212" spans="8:8" x14ac:dyDescent="0.35">
      <c r="H212" s="16"/>
    </row>
    <row r="213" spans="8:8" x14ac:dyDescent="0.35">
      <c r="H213" s="16"/>
    </row>
    <row r="214" spans="8:8" x14ac:dyDescent="0.35">
      <c r="H214" s="16"/>
    </row>
    <row r="215" spans="8:8" x14ac:dyDescent="0.35">
      <c r="H215" s="16"/>
    </row>
    <row r="216" spans="8:8" x14ac:dyDescent="0.35">
      <c r="H216" s="16"/>
    </row>
    <row r="217" spans="8:8" x14ac:dyDescent="0.35">
      <c r="H217" s="16"/>
    </row>
    <row r="218" spans="8:8" x14ac:dyDescent="0.35">
      <c r="H218" s="16"/>
    </row>
    <row r="219" spans="8:8" x14ac:dyDescent="0.35">
      <c r="H219" s="16"/>
    </row>
    <row r="220" spans="8:8" x14ac:dyDescent="0.35">
      <c r="H220" s="16"/>
    </row>
    <row r="221" spans="8:8" x14ac:dyDescent="0.35">
      <c r="H221" s="16"/>
    </row>
    <row r="222" spans="8:8" x14ac:dyDescent="0.35">
      <c r="H222" s="16"/>
    </row>
    <row r="223" spans="8:8" x14ac:dyDescent="0.35">
      <c r="H223" s="16"/>
    </row>
    <row r="224" spans="8:8" x14ac:dyDescent="0.35">
      <c r="H224" s="16"/>
    </row>
    <row r="225" spans="8:8" x14ac:dyDescent="0.35">
      <c r="H225" s="16"/>
    </row>
    <row r="226" spans="8:8" x14ac:dyDescent="0.35">
      <c r="H226" s="16"/>
    </row>
    <row r="227" spans="8:8" x14ac:dyDescent="0.35">
      <c r="H227" s="16"/>
    </row>
    <row r="228" spans="8:8" x14ac:dyDescent="0.35">
      <c r="H228" s="16"/>
    </row>
    <row r="229" spans="8:8" x14ac:dyDescent="0.35">
      <c r="H229" s="16"/>
    </row>
    <row r="230" spans="8:8" x14ac:dyDescent="0.35">
      <c r="H230" s="16"/>
    </row>
    <row r="231" spans="8:8" x14ac:dyDescent="0.35">
      <c r="H231" s="16"/>
    </row>
    <row r="232" spans="8:8" x14ac:dyDescent="0.35">
      <c r="H232" s="16"/>
    </row>
    <row r="233" spans="8:8" x14ac:dyDescent="0.35">
      <c r="H233" s="16"/>
    </row>
    <row r="234" spans="8:8" x14ac:dyDescent="0.35">
      <c r="H234" s="16"/>
    </row>
    <row r="235" spans="8:8" x14ac:dyDescent="0.35">
      <c r="H235" s="16"/>
    </row>
    <row r="236" spans="8:8" x14ac:dyDescent="0.35">
      <c r="H236" s="16"/>
    </row>
    <row r="237" spans="8:8" x14ac:dyDescent="0.35">
      <c r="H237" s="16"/>
    </row>
    <row r="238" spans="8:8" x14ac:dyDescent="0.35">
      <c r="H238" s="16"/>
    </row>
    <row r="239" spans="8:8" x14ac:dyDescent="0.35">
      <c r="H239" s="16"/>
    </row>
    <row r="240" spans="8:8" x14ac:dyDescent="0.35">
      <c r="H240" s="16"/>
    </row>
    <row r="241" spans="8:8" x14ac:dyDescent="0.35">
      <c r="H241" s="16"/>
    </row>
    <row r="242" spans="8:8" x14ac:dyDescent="0.35">
      <c r="H242" s="16"/>
    </row>
    <row r="243" spans="8:8" x14ac:dyDescent="0.35">
      <c r="H243" s="16"/>
    </row>
    <row r="244" spans="8:8" x14ac:dyDescent="0.35">
      <c r="H244" s="16"/>
    </row>
    <row r="245" spans="8:8" x14ac:dyDescent="0.35">
      <c r="H245" s="16"/>
    </row>
    <row r="246" spans="8:8" x14ac:dyDescent="0.35">
      <c r="H246" s="16"/>
    </row>
    <row r="247" spans="8:8" x14ac:dyDescent="0.35">
      <c r="H247" s="16"/>
    </row>
    <row r="248" spans="8:8" x14ac:dyDescent="0.35">
      <c r="H248" s="16"/>
    </row>
    <row r="249" spans="8:8" x14ac:dyDescent="0.35">
      <c r="H249" s="16"/>
    </row>
    <row r="250" spans="8:8" x14ac:dyDescent="0.35">
      <c r="H250" s="16"/>
    </row>
    <row r="251" spans="8:8" x14ac:dyDescent="0.35">
      <c r="H251" s="16"/>
    </row>
    <row r="252" spans="8:8" x14ac:dyDescent="0.35">
      <c r="H252" s="16"/>
    </row>
    <row r="253" spans="8:8" x14ac:dyDescent="0.35">
      <c r="H253" s="16"/>
    </row>
    <row r="254" spans="8:8" x14ac:dyDescent="0.35">
      <c r="H254" s="16"/>
    </row>
    <row r="255" spans="8:8" x14ac:dyDescent="0.35">
      <c r="H255" s="16"/>
    </row>
    <row r="256" spans="8:8" x14ac:dyDescent="0.35">
      <c r="H256" s="16"/>
    </row>
    <row r="257" spans="8:8" x14ac:dyDescent="0.35">
      <c r="H257" s="16"/>
    </row>
    <row r="258" spans="8:8" x14ac:dyDescent="0.35">
      <c r="H258" s="16"/>
    </row>
    <row r="259" spans="8:8" x14ac:dyDescent="0.35">
      <c r="H259" s="16"/>
    </row>
    <row r="260" spans="8:8" x14ac:dyDescent="0.35">
      <c r="H260" s="16"/>
    </row>
    <row r="261" spans="8:8" x14ac:dyDescent="0.35">
      <c r="H261" s="16"/>
    </row>
    <row r="262" spans="8:8" x14ac:dyDescent="0.35">
      <c r="H262" s="16"/>
    </row>
    <row r="263" spans="8:8" x14ac:dyDescent="0.35">
      <c r="H263" s="16"/>
    </row>
    <row r="264" spans="8:8" x14ac:dyDescent="0.35">
      <c r="H264" s="16"/>
    </row>
    <row r="265" spans="8:8" x14ac:dyDescent="0.35">
      <c r="H265" s="16"/>
    </row>
    <row r="266" spans="8:8" x14ac:dyDescent="0.35">
      <c r="H266" s="16"/>
    </row>
    <row r="267" spans="8:8" x14ac:dyDescent="0.35">
      <c r="H267" s="16"/>
    </row>
    <row r="268" spans="8:8" x14ac:dyDescent="0.35">
      <c r="H268" s="16"/>
    </row>
    <row r="269" spans="8:8" x14ac:dyDescent="0.35">
      <c r="H269" s="16"/>
    </row>
    <row r="270" spans="8:8" x14ac:dyDescent="0.35">
      <c r="H270" s="16"/>
    </row>
    <row r="271" spans="8:8" x14ac:dyDescent="0.35">
      <c r="H271" s="16"/>
    </row>
    <row r="272" spans="8:8" x14ac:dyDescent="0.35">
      <c r="H272" s="16"/>
    </row>
    <row r="273" spans="8:8" x14ac:dyDescent="0.35">
      <c r="H273" s="16"/>
    </row>
    <row r="274" spans="8:8" x14ac:dyDescent="0.35">
      <c r="H274" s="16"/>
    </row>
    <row r="275" spans="8:8" x14ac:dyDescent="0.35">
      <c r="H275" s="16"/>
    </row>
    <row r="276" spans="8:8" x14ac:dyDescent="0.35">
      <c r="H276" s="16"/>
    </row>
    <row r="277" spans="8:8" x14ac:dyDescent="0.35">
      <c r="H277" s="16"/>
    </row>
    <row r="278" spans="8:8" x14ac:dyDescent="0.35">
      <c r="H278" s="16"/>
    </row>
    <row r="279" spans="8:8" x14ac:dyDescent="0.35">
      <c r="H279" s="16"/>
    </row>
    <row r="280" spans="8:8" x14ac:dyDescent="0.35">
      <c r="H280" s="16"/>
    </row>
    <row r="281" spans="8:8" x14ac:dyDescent="0.35">
      <c r="H281" s="16"/>
    </row>
    <row r="282" spans="8:8" x14ac:dyDescent="0.35">
      <c r="H282" s="16"/>
    </row>
    <row r="283" spans="8:8" x14ac:dyDescent="0.35">
      <c r="H283" s="16"/>
    </row>
    <row r="284" spans="8:8" x14ac:dyDescent="0.35">
      <c r="H284" s="16"/>
    </row>
    <row r="285" spans="8:8" x14ac:dyDescent="0.35">
      <c r="H285" s="16"/>
    </row>
    <row r="286" spans="8:8" x14ac:dyDescent="0.35">
      <c r="H286" s="16"/>
    </row>
    <row r="287" spans="8:8" x14ac:dyDescent="0.35">
      <c r="H287" s="16"/>
    </row>
    <row r="288" spans="8:8" x14ac:dyDescent="0.35">
      <c r="H288" s="16"/>
    </row>
    <row r="289" spans="8:8" x14ac:dyDescent="0.35">
      <c r="H289" s="16"/>
    </row>
    <row r="290" spans="8:8" x14ac:dyDescent="0.35">
      <c r="H290" s="16"/>
    </row>
    <row r="291" spans="8:8" x14ac:dyDescent="0.35">
      <c r="H291" s="16"/>
    </row>
    <row r="292" spans="8:8" x14ac:dyDescent="0.35">
      <c r="H292" s="16"/>
    </row>
    <row r="293" spans="8:8" x14ac:dyDescent="0.35">
      <c r="H293" s="16"/>
    </row>
    <row r="294" spans="8:8" x14ac:dyDescent="0.35">
      <c r="H294" s="16"/>
    </row>
    <row r="295" spans="8:8" x14ac:dyDescent="0.35">
      <c r="H295" s="16"/>
    </row>
    <row r="296" spans="8:8" x14ac:dyDescent="0.35">
      <c r="H296" s="16"/>
    </row>
    <row r="297" spans="8:8" x14ac:dyDescent="0.35">
      <c r="H297" s="16"/>
    </row>
    <row r="298" spans="8:8" x14ac:dyDescent="0.35">
      <c r="H298" s="16"/>
    </row>
    <row r="299" spans="8:8" x14ac:dyDescent="0.35">
      <c r="H299" s="16"/>
    </row>
    <row r="300" spans="8:8" x14ac:dyDescent="0.35">
      <c r="H300" s="16"/>
    </row>
    <row r="301" spans="8:8" x14ac:dyDescent="0.35">
      <c r="H301" s="16"/>
    </row>
    <row r="302" spans="8:8" x14ac:dyDescent="0.35">
      <c r="H302" s="16"/>
    </row>
    <row r="303" spans="8:8" x14ac:dyDescent="0.35">
      <c r="H303" s="16"/>
    </row>
    <row r="304" spans="8:8" x14ac:dyDescent="0.35">
      <c r="H304" s="16"/>
    </row>
    <row r="305" spans="8:8" x14ac:dyDescent="0.35">
      <c r="H305" s="16"/>
    </row>
    <row r="306" spans="8:8" x14ac:dyDescent="0.35">
      <c r="H306" s="16"/>
    </row>
    <row r="307" spans="8:8" x14ac:dyDescent="0.35">
      <c r="H307" s="16"/>
    </row>
    <row r="308" spans="8:8" x14ac:dyDescent="0.35">
      <c r="H308" s="16"/>
    </row>
    <row r="309" spans="8:8" x14ac:dyDescent="0.35">
      <c r="H309" s="16"/>
    </row>
    <row r="310" spans="8:8" x14ac:dyDescent="0.35">
      <c r="H310" s="16"/>
    </row>
    <row r="311" spans="8:8" x14ac:dyDescent="0.35">
      <c r="H311" s="16"/>
    </row>
    <row r="312" spans="8:8" x14ac:dyDescent="0.35">
      <c r="H312" s="16"/>
    </row>
    <row r="313" spans="8:8" x14ac:dyDescent="0.35">
      <c r="H313" s="16"/>
    </row>
    <row r="314" spans="8:8" x14ac:dyDescent="0.35">
      <c r="H314" s="16"/>
    </row>
    <row r="315" spans="8:8" x14ac:dyDescent="0.35">
      <c r="H315" s="16"/>
    </row>
    <row r="316" spans="8:8" x14ac:dyDescent="0.35">
      <c r="H316" s="16"/>
    </row>
    <row r="317" spans="8:8" x14ac:dyDescent="0.35">
      <c r="H317" s="16"/>
    </row>
    <row r="318" spans="8:8" x14ac:dyDescent="0.35">
      <c r="H318" s="16"/>
    </row>
    <row r="319" spans="8:8" x14ac:dyDescent="0.35">
      <c r="H319" s="16"/>
    </row>
    <row r="320" spans="8:8" x14ac:dyDescent="0.35">
      <c r="H320" s="16"/>
    </row>
    <row r="321" spans="8:8" x14ac:dyDescent="0.35">
      <c r="H321" s="16"/>
    </row>
    <row r="322" spans="8:8" x14ac:dyDescent="0.35">
      <c r="H322" s="16"/>
    </row>
    <row r="323" spans="8:8" x14ac:dyDescent="0.35">
      <c r="H323" s="16"/>
    </row>
    <row r="324" spans="8:8" x14ac:dyDescent="0.35">
      <c r="H324" s="16"/>
    </row>
    <row r="325" spans="8:8" x14ac:dyDescent="0.35">
      <c r="H325" s="16"/>
    </row>
    <row r="326" spans="8:8" x14ac:dyDescent="0.35">
      <c r="H326" s="16"/>
    </row>
    <row r="327" spans="8:8" x14ac:dyDescent="0.35">
      <c r="H327" s="16"/>
    </row>
    <row r="328" spans="8:8" x14ac:dyDescent="0.35">
      <c r="H328" s="16"/>
    </row>
    <row r="329" spans="8:8" x14ac:dyDescent="0.35">
      <c r="H329" s="16"/>
    </row>
    <row r="330" spans="8:8" x14ac:dyDescent="0.35">
      <c r="H330" s="16"/>
    </row>
    <row r="331" spans="8:8" x14ac:dyDescent="0.35">
      <c r="H331" s="16"/>
    </row>
    <row r="332" spans="8:8" x14ac:dyDescent="0.35">
      <c r="H332" s="16"/>
    </row>
    <row r="333" spans="8:8" x14ac:dyDescent="0.35">
      <c r="H333" s="16"/>
    </row>
    <row r="334" spans="8:8" x14ac:dyDescent="0.35">
      <c r="H334" s="16"/>
    </row>
    <row r="335" spans="8:8" x14ac:dyDescent="0.35">
      <c r="H335" s="16"/>
    </row>
    <row r="336" spans="8:8" x14ac:dyDescent="0.35">
      <c r="H336" s="16"/>
    </row>
    <row r="337" spans="8:8" x14ac:dyDescent="0.35">
      <c r="H337" s="16"/>
    </row>
    <row r="338" spans="8:8" x14ac:dyDescent="0.35">
      <c r="H338" s="16"/>
    </row>
    <row r="339" spans="8:8" x14ac:dyDescent="0.35">
      <c r="H339" s="16"/>
    </row>
    <row r="340" spans="8:8" x14ac:dyDescent="0.35">
      <c r="H340" s="16"/>
    </row>
    <row r="341" spans="8:8" x14ac:dyDescent="0.35">
      <c r="H341" s="16"/>
    </row>
    <row r="342" spans="8:8" x14ac:dyDescent="0.35">
      <c r="H342" s="16"/>
    </row>
    <row r="343" spans="8:8" x14ac:dyDescent="0.35">
      <c r="H343" s="16"/>
    </row>
    <row r="344" spans="8:8" x14ac:dyDescent="0.35">
      <c r="H344" s="16"/>
    </row>
    <row r="345" spans="8:8" x14ac:dyDescent="0.35">
      <c r="H345" s="16"/>
    </row>
    <row r="346" spans="8:8" x14ac:dyDescent="0.35">
      <c r="H346" s="16"/>
    </row>
    <row r="347" spans="8:8" x14ac:dyDescent="0.35">
      <c r="H347" s="16"/>
    </row>
    <row r="348" spans="8:8" x14ac:dyDescent="0.35">
      <c r="H348" s="16"/>
    </row>
    <row r="349" spans="8:8" x14ac:dyDescent="0.35">
      <c r="H349" s="16"/>
    </row>
    <row r="350" spans="8:8" x14ac:dyDescent="0.35">
      <c r="H350" s="16"/>
    </row>
    <row r="351" spans="8:8" x14ac:dyDescent="0.35">
      <c r="H351" s="16"/>
    </row>
    <row r="352" spans="8:8" x14ac:dyDescent="0.35">
      <c r="H352" s="16"/>
    </row>
    <row r="353" spans="8:8" x14ac:dyDescent="0.35">
      <c r="H353" s="16"/>
    </row>
    <row r="354" spans="8:8" x14ac:dyDescent="0.35">
      <c r="H354" s="16"/>
    </row>
    <row r="355" spans="8:8" x14ac:dyDescent="0.35">
      <c r="H355" s="16"/>
    </row>
    <row r="356" spans="8:8" x14ac:dyDescent="0.35">
      <c r="H356" s="16"/>
    </row>
    <row r="357" spans="8:8" x14ac:dyDescent="0.35">
      <c r="H357" s="16"/>
    </row>
    <row r="358" spans="8:8" x14ac:dyDescent="0.35">
      <c r="H358" s="16"/>
    </row>
    <row r="359" spans="8:8" x14ac:dyDescent="0.35">
      <c r="H359" s="16"/>
    </row>
    <row r="360" spans="8:8" x14ac:dyDescent="0.35">
      <c r="H360" s="16"/>
    </row>
    <row r="361" spans="8:8" x14ac:dyDescent="0.35">
      <c r="H361" s="16"/>
    </row>
    <row r="362" spans="8:8" x14ac:dyDescent="0.35">
      <c r="H362" s="16"/>
    </row>
    <row r="363" spans="8:8" x14ac:dyDescent="0.35">
      <c r="H363" s="16"/>
    </row>
    <row r="364" spans="8:8" x14ac:dyDescent="0.35">
      <c r="H364" s="16"/>
    </row>
    <row r="365" spans="8:8" x14ac:dyDescent="0.35">
      <c r="H365" s="16"/>
    </row>
    <row r="366" spans="8:8" x14ac:dyDescent="0.35">
      <c r="H366" s="16"/>
    </row>
    <row r="367" spans="8:8" x14ac:dyDescent="0.35">
      <c r="H367" s="16"/>
    </row>
    <row r="368" spans="8:8" x14ac:dyDescent="0.35">
      <c r="H368" s="16"/>
    </row>
    <row r="369" spans="8:8" x14ac:dyDescent="0.35">
      <c r="H369" s="16"/>
    </row>
    <row r="370" spans="8:8" x14ac:dyDescent="0.35">
      <c r="H370" s="16"/>
    </row>
    <row r="371" spans="8:8" x14ac:dyDescent="0.35">
      <c r="H371" s="16"/>
    </row>
    <row r="372" spans="8:8" x14ac:dyDescent="0.35">
      <c r="H372" s="16"/>
    </row>
    <row r="373" spans="8:8" x14ac:dyDescent="0.35">
      <c r="H373" s="16"/>
    </row>
    <row r="374" spans="8:8" x14ac:dyDescent="0.35">
      <c r="H374" s="16"/>
    </row>
    <row r="375" spans="8:8" x14ac:dyDescent="0.35">
      <c r="H375" s="16"/>
    </row>
    <row r="376" spans="8:8" x14ac:dyDescent="0.35">
      <c r="H376" s="16"/>
    </row>
    <row r="377" spans="8:8" x14ac:dyDescent="0.35">
      <c r="H377" s="16"/>
    </row>
    <row r="378" spans="8:8" x14ac:dyDescent="0.35">
      <c r="H378" s="16"/>
    </row>
    <row r="379" spans="8:8" x14ac:dyDescent="0.35">
      <c r="H379" s="16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J155"/>
  <sheetViews>
    <sheetView topLeftCell="A135" workbookViewId="0">
      <selection activeCell="B172" sqref="B172"/>
    </sheetView>
  </sheetViews>
  <sheetFormatPr defaultRowHeight="14.5" x14ac:dyDescent="0.35"/>
  <cols>
    <col min="1" max="1" width="51.54296875" customWidth="1"/>
    <col min="2" max="2" width="38.1796875" bestFit="1" customWidth="1"/>
    <col min="3" max="3" width="44.7265625" customWidth="1"/>
    <col min="4" max="4" width="18.26953125" customWidth="1"/>
    <col min="5" max="5" width="9.81640625" bestFit="1" customWidth="1"/>
    <col min="6" max="6" width="16.54296875" customWidth="1"/>
    <col min="7" max="7" width="17.453125" customWidth="1"/>
    <col min="8" max="8" width="25" customWidth="1"/>
  </cols>
  <sheetData>
    <row r="1" spans="1:10" ht="28.5" thickBot="1" x14ac:dyDescent="0.4">
      <c r="A1" s="19" t="s">
        <v>585</v>
      </c>
      <c r="B1" s="19" t="s">
        <v>586</v>
      </c>
      <c r="C1" s="19" t="s">
        <v>508</v>
      </c>
      <c r="D1" s="19" t="s">
        <v>509</v>
      </c>
      <c r="E1" s="19" t="s">
        <v>510</v>
      </c>
      <c r="F1" s="19" t="s">
        <v>511</v>
      </c>
      <c r="G1" s="40" t="s">
        <v>1042</v>
      </c>
      <c r="H1" s="40" t="s">
        <v>1043</v>
      </c>
      <c r="I1" s="40" t="s">
        <v>1046</v>
      </c>
      <c r="J1" s="40" t="s">
        <v>490</v>
      </c>
    </row>
    <row r="2" spans="1:10" x14ac:dyDescent="0.35">
      <c r="A2" t="s">
        <v>889</v>
      </c>
      <c r="B2" t="s">
        <v>863</v>
      </c>
      <c r="C2" t="s">
        <v>928</v>
      </c>
      <c r="D2" t="s">
        <v>917</v>
      </c>
      <c r="E2" t="s">
        <v>513</v>
      </c>
      <c r="F2" t="s">
        <v>929</v>
      </c>
      <c r="I2" t="str">
        <f>ExporExpressoesDimensoesPainel[[#This Row],[ABA]]</f>
        <v>Resultado Operacional</v>
      </c>
      <c r="J2" t="s">
        <v>1152</v>
      </c>
    </row>
    <row r="3" spans="1:10" x14ac:dyDescent="0.35">
      <c r="A3" t="s">
        <v>889</v>
      </c>
      <c r="B3" t="s">
        <v>863</v>
      </c>
      <c r="C3" t="s">
        <v>930</v>
      </c>
      <c r="D3" t="s">
        <v>917</v>
      </c>
      <c r="E3" t="s">
        <v>513</v>
      </c>
      <c r="F3" t="s">
        <v>931</v>
      </c>
      <c r="I3" t="str">
        <f>ExporExpressoesDimensoesPainel[[#This Row],[ABA]]</f>
        <v>Resultado Operacional</v>
      </c>
      <c r="J3" t="s">
        <v>1152</v>
      </c>
    </row>
    <row r="4" spans="1:10" x14ac:dyDescent="0.35">
      <c r="A4" t="s">
        <v>889</v>
      </c>
      <c r="B4" t="s">
        <v>863</v>
      </c>
      <c r="C4" t="s">
        <v>932</v>
      </c>
      <c r="D4" t="s">
        <v>917</v>
      </c>
      <c r="E4" t="s">
        <v>513</v>
      </c>
      <c r="F4" t="s">
        <v>933</v>
      </c>
      <c r="I4" t="str">
        <f>ExporExpressoesDimensoesPainel[[#This Row],[ABA]]</f>
        <v>Resultado Operacional</v>
      </c>
      <c r="J4" t="s">
        <v>1152</v>
      </c>
    </row>
    <row r="5" spans="1:10" x14ac:dyDescent="0.35">
      <c r="A5" t="s">
        <v>889</v>
      </c>
      <c r="B5" t="s">
        <v>863</v>
      </c>
      <c r="C5" t="s">
        <v>1148</v>
      </c>
      <c r="D5" t="s">
        <v>917</v>
      </c>
      <c r="I5" s="2" t="str">
        <f>ExporExpressoesDimensoesPainel[[#This Row],[ABA]]</f>
        <v>Resultado Operacional</v>
      </c>
      <c r="J5" t="s">
        <v>1153</v>
      </c>
    </row>
    <row r="6" spans="1:10" x14ac:dyDescent="0.35">
      <c r="A6" t="s">
        <v>915</v>
      </c>
      <c r="B6" t="s">
        <v>878</v>
      </c>
      <c r="C6" t="s">
        <v>977</v>
      </c>
      <c r="D6" t="s">
        <v>527</v>
      </c>
      <c r="E6" t="s">
        <v>513</v>
      </c>
      <c r="F6" t="s">
        <v>926</v>
      </c>
      <c r="I6" t="str">
        <f>ExporExpressoesDimensoesPainel[[#This Row],[ABA]]</f>
        <v>Resultado Financeiro</v>
      </c>
      <c r="J6" t="s">
        <v>1152</v>
      </c>
    </row>
    <row r="7" spans="1:10" x14ac:dyDescent="0.35">
      <c r="A7" t="s">
        <v>915</v>
      </c>
      <c r="B7" t="s">
        <v>878</v>
      </c>
      <c r="C7" t="s">
        <v>967</v>
      </c>
      <c r="D7" t="s">
        <v>527</v>
      </c>
      <c r="E7" t="s">
        <v>513</v>
      </c>
      <c r="F7" t="s">
        <v>997</v>
      </c>
      <c r="I7" t="str">
        <f>ExporExpressoesDimensoesPainel[[#This Row],[ABA]]</f>
        <v>Resultado Financeiro</v>
      </c>
      <c r="J7" t="s">
        <v>1152</v>
      </c>
    </row>
    <row r="8" spans="1:10" x14ac:dyDescent="0.35">
      <c r="A8" t="s">
        <v>915</v>
      </c>
      <c r="B8" t="s">
        <v>878</v>
      </c>
      <c r="C8" t="s">
        <v>1148</v>
      </c>
      <c r="D8" t="s">
        <v>527</v>
      </c>
      <c r="I8" s="2" t="str">
        <f>ExporExpressoesDimensoesPainel[[#This Row],[ABA]]</f>
        <v>Resultado Financeiro</v>
      </c>
      <c r="J8" t="s">
        <v>1153</v>
      </c>
    </row>
    <row r="9" spans="1:10" x14ac:dyDescent="0.35">
      <c r="A9" t="s">
        <v>915</v>
      </c>
      <c r="B9" t="s">
        <v>961</v>
      </c>
      <c r="C9" t="s">
        <v>934</v>
      </c>
      <c r="D9" t="s">
        <v>584</v>
      </c>
      <c r="E9" t="s">
        <v>503</v>
      </c>
      <c r="F9" t="s">
        <v>482</v>
      </c>
      <c r="I9" t="str">
        <f>ExporExpressoesDimensoesPainel[[#This Row],[ABA]]</f>
        <v>Resultado Financeiro</v>
      </c>
      <c r="J9" t="s">
        <v>1152</v>
      </c>
    </row>
    <row r="10" spans="1:10" x14ac:dyDescent="0.35">
      <c r="A10" t="s">
        <v>915</v>
      </c>
      <c r="B10" t="s">
        <v>961</v>
      </c>
      <c r="C10" t="s">
        <v>934</v>
      </c>
      <c r="D10" t="s">
        <v>584</v>
      </c>
      <c r="E10" t="s">
        <v>503</v>
      </c>
      <c r="F10" t="s">
        <v>503</v>
      </c>
      <c r="I10" t="str">
        <f>ExporExpressoesDimensoesPainel[[#This Row],[ABA]]</f>
        <v>Resultado Financeiro</v>
      </c>
      <c r="J10" t="s">
        <v>1152</v>
      </c>
    </row>
    <row r="11" spans="1:10" x14ac:dyDescent="0.35">
      <c r="A11" t="s">
        <v>915</v>
      </c>
      <c r="B11" t="s">
        <v>961</v>
      </c>
      <c r="C11" t="s">
        <v>934</v>
      </c>
      <c r="D11" t="s">
        <v>584</v>
      </c>
      <c r="E11" t="s">
        <v>513</v>
      </c>
      <c r="F11">
        <v>1</v>
      </c>
      <c r="I11" t="str">
        <f>ExporExpressoesDimensoesPainel[[#This Row],[ABA]]</f>
        <v>Resultado Financeiro</v>
      </c>
      <c r="J11" t="s">
        <v>1152</v>
      </c>
    </row>
    <row r="12" spans="1:10" x14ac:dyDescent="0.35">
      <c r="A12" t="s">
        <v>915</v>
      </c>
      <c r="B12" t="s">
        <v>879</v>
      </c>
      <c r="C12" t="s">
        <v>969</v>
      </c>
      <c r="D12" t="s">
        <v>527</v>
      </c>
      <c r="E12" t="s">
        <v>513</v>
      </c>
      <c r="F12" t="s">
        <v>920</v>
      </c>
      <c r="I12" t="str">
        <f>ExporExpressoesDimensoesPainel[[#This Row],[ABA]]</f>
        <v>Resultado Financeiro</v>
      </c>
      <c r="J12" t="s">
        <v>1152</v>
      </c>
    </row>
    <row r="13" spans="1:10" x14ac:dyDescent="0.35">
      <c r="A13" t="s">
        <v>915</v>
      </c>
      <c r="B13" t="s">
        <v>879</v>
      </c>
      <c r="C13" t="s">
        <v>967</v>
      </c>
      <c r="D13" t="s">
        <v>527</v>
      </c>
      <c r="E13" t="s">
        <v>513</v>
      </c>
      <c r="F13" t="s">
        <v>970</v>
      </c>
      <c r="I13" t="str">
        <f>ExporExpressoesDimensoesPainel[[#This Row],[ABA]]</f>
        <v>Resultado Financeiro</v>
      </c>
      <c r="J13" t="s">
        <v>1152</v>
      </c>
    </row>
    <row r="14" spans="1:10" x14ac:dyDescent="0.35">
      <c r="A14" t="s">
        <v>915</v>
      </c>
      <c r="B14" t="s">
        <v>879</v>
      </c>
      <c r="C14" t="s">
        <v>1148</v>
      </c>
      <c r="D14" t="s">
        <v>527</v>
      </c>
      <c r="I14" s="2" t="str">
        <f>ExporExpressoesDimensoesPainel[[#This Row],[ABA]]</f>
        <v>Resultado Financeiro</v>
      </c>
      <c r="J14" t="s">
        <v>1153</v>
      </c>
    </row>
    <row r="15" spans="1:10" x14ac:dyDescent="0.35">
      <c r="A15" t="s">
        <v>889</v>
      </c>
      <c r="B15" t="s">
        <v>857</v>
      </c>
      <c r="C15" t="s">
        <v>906</v>
      </c>
      <c r="D15" t="s">
        <v>900</v>
      </c>
      <c r="E15" t="s">
        <v>503</v>
      </c>
      <c r="F15" t="s">
        <v>907</v>
      </c>
      <c r="I15" t="str">
        <f>ExporExpressoesDimensoesPainel[[#This Row],[ABA]]</f>
        <v>Resultado Operacional</v>
      </c>
      <c r="J15" t="s">
        <v>1152</v>
      </c>
    </row>
    <row r="16" spans="1:10" x14ac:dyDescent="0.35">
      <c r="A16" t="s">
        <v>889</v>
      </c>
      <c r="B16" t="s">
        <v>857</v>
      </c>
      <c r="C16" t="s">
        <v>908</v>
      </c>
      <c r="D16" t="s">
        <v>900</v>
      </c>
      <c r="E16" t="s">
        <v>513</v>
      </c>
      <c r="F16" t="s">
        <v>909</v>
      </c>
      <c r="I16" t="str">
        <f>ExporExpressoesDimensoesPainel[[#This Row],[ABA]]</f>
        <v>Resultado Operacional</v>
      </c>
      <c r="J16" t="s">
        <v>1152</v>
      </c>
    </row>
    <row r="17" spans="1:10" x14ac:dyDescent="0.35">
      <c r="A17" t="s">
        <v>889</v>
      </c>
      <c r="B17" t="s">
        <v>857</v>
      </c>
      <c r="C17" t="s">
        <v>1148</v>
      </c>
      <c r="D17" t="s">
        <v>900</v>
      </c>
      <c r="I17" s="2" t="str">
        <f>ExporExpressoesDimensoesPainel[[#This Row],[ABA]]</f>
        <v>Resultado Operacional</v>
      </c>
      <c r="J17" t="s">
        <v>1153</v>
      </c>
    </row>
    <row r="18" spans="1:10" x14ac:dyDescent="0.35">
      <c r="A18" t="s">
        <v>915</v>
      </c>
      <c r="B18" t="s">
        <v>880</v>
      </c>
      <c r="C18" t="s">
        <v>941</v>
      </c>
      <c r="D18" t="s">
        <v>574</v>
      </c>
      <c r="E18" t="s">
        <v>503</v>
      </c>
      <c r="F18" t="s">
        <v>894</v>
      </c>
      <c r="I18" t="str">
        <f>ExporExpressoesDimensoesPainel[[#This Row],[ABA]]</f>
        <v>Resultado Financeiro</v>
      </c>
      <c r="J18" t="s">
        <v>1152</v>
      </c>
    </row>
    <row r="19" spans="1:10" x14ac:dyDescent="0.35">
      <c r="A19" t="s">
        <v>915</v>
      </c>
      <c r="B19" t="s">
        <v>880</v>
      </c>
      <c r="C19" t="s">
        <v>942</v>
      </c>
      <c r="D19" t="s">
        <v>574</v>
      </c>
      <c r="E19" t="s">
        <v>503</v>
      </c>
      <c r="F19" t="s">
        <v>896</v>
      </c>
      <c r="I19" t="str">
        <f>ExporExpressoesDimensoesPainel[[#This Row],[ABA]]</f>
        <v>Resultado Financeiro</v>
      </c>
      <c r="J19" t="s">
        <v>1152</v>
      </c>
    </row>
    <row r="20" spans="1:10" x14ac:dyDescent="0.35">
      <c r="A20" t="s">
        <v>915</v>
      </c>
      <c r="B20" t="s">
        <v>880</v>
      </c>
      <c r="C20" t="s">
        <v>943</v>
      </c>
      <c r="D20" t="s">
        <v>574</v>
      </c>
      <c r="E20" t="s">
        <v>513</v>
      </c>
      <c r="F20" t="s">
        <v>944</v>
      </c>
      <c r="I20" t="str">
        <f>ExporExpressoesDimensoesPainel[[#This Row],[ABA]]</f>
        <v>Resultado Financeiro</v>
      </c>
      <c r="J20" t="s">
        <v>1152</v>
      </c>
    </row>
    <row r="21" spans="1:10" x14ac:dyDescent="0.35">
      <c r="A21" t="s">
        <v>889</v>
      </c>
      <c r="B21" t="s">
        <v>860</v>
      </c>
      <c r="C21" t="s">
        <v>912</v>
      </c>
      <c r="D21" t="s">
        <v>900</v>
      </c>
      <c r="E21" t="s">
        <v>503</v>
      </c>
      <c r="F21" t="s">
        <v>907</v>
      </c>
      <c r="I21" t="str">
        <f>ExporExpressoesDimensoesPainel[[#This Row],[ABA]]</f>
        <v>Resultado Operacional</v>
      </c>
      <c r="J21" t="s">
        <v>1152</v>
      </c>
    </row>
    <row r="22" spans="1:10" x14ac:dyDescent="0.35">
      <c r="A22" t="s">
        <v>889</v>
      </c>
      <c r="B22" t="s">
        <v>860</v>
      </c>
      <c r="C22" t="s">
        <v>913</v>
      </c>
      <c r="D22" t="s">
        <v>900</v>
      </c>
      <c r="E22" t="s">
        <v>513</v>
      </c>
      <c r="F22" t="s">
        <v>914</v>
      </c>
      <c r="I22" t="str">
        <f>ExporExpressoesDimensoesPainel[[#This Row],[ABA]]</f>
        <v>Resultado Operacional</v>
      </c>
      <c r="J22" t="s">
        <v>1152</v>
      </c>
    </row>
    <row r="23" spans="1:10" x14ac:dyDescent="0.35">
      <c r="A23" t="s">
        <v>889</v>
      </c>
      <c r="B23" t="s">
        <v>860</v>
      </c>
      <c r="C23" t="s">
        <v>1148</v>
      </c>
      <c r="D23" t="s">
        <v>900</v>
      </c>
      <c r="I23" s="2" t="str">
        <f>ExporExpressoesDimensoesPainel[[#This Row],[ABA]]</f>
        <v>Resultado Operacional</v>
      </c>
      <c r="J23" t="s">
        <v>1153</v>
      </c>
    </row>
    <row r="24" spans="1:10" x14ac:dyDescent="0.35">
      <c r="A24" t="s">
        <v>915</v>
      </c>
      <c r="B24" t="s">
        <v>971</v>
      </c>
      <c r="C24" t="s">
        <v>972</v>
      </c>
      <c r="D24" t="s">
        <v>512</v>
      </c>
      <c r="E24" t="s">
        <v>513</v>
      </c>
      <c r="F24" t="s">
        <v>973</v>
      </c>
      <c r="I24" t="str">
        <f>ExporExpressoesDimensoesPainel[[#This Row],[ABA]]</f>
        <v>Resultado Financeiro</v>
      </c>
      <c r="J24" t="s">
        <v>1152</v>
      </c>
    </row>
    <row r="25" spans="1:10" x14ac:dyDescent="0.35">
      <c r="A25" t="s">
        <v>915</v>
      </c>
      <c r="B25" t="s">
        <v>971</v>
      </c>
      <c r="C25" t="s">
        <v>974</v>
      </c>
      <c r="D25" t="s">
        <v>512</v>
      </c>
      <c r="E25" t="s">
        <v>513</v>
      </c>
      <c r="F25" t="s">
        <v>918</v>
      </c>
      <c r="I25" t="str">
        <f>ExporExpressoesDimensoesPainel[[#This Row],[ABA]]</f>
        <v>Resultado Financeiro</v>
      </c>
      <c r="J25" t="s">
        <v>1152</v>
      </c>
    </row>
    <row r="26" spans="1:10" x14ac:dyDescent="0.35">
      <c r="A26" t="s">
        <v>915</v>
      </c>
      <c r="B26" t="s">
        <v>971</v>
      </c>
      <c r="C26" t="s">
        <v>975</v>
      </c>
      <c r="D26" t="s">
        <v>512</v>
      </c>
      <c r="E26" t="s">
        <v>513</v>
      </c>
      <c r="F26" t="s">
        <v>976</v>
      </c>
      <c r="I26" t="str">
        <f>ExporExpressoesDimensoesPainel[[#This Row],[ABA]]</f>
        <v>Resultado Financeiro</v>
      </c>
      <c r="J26" t="s">
        <v>1152</v>
      </c>
    </row>
    <row r="27" spans="1:10" x14ac:dyDescent="0.35">
      <c r="A27" t="s">
        <v>915</v>
      </c>
      <c r="B27" t="s">
        <v>971</v>
      </c>
      <c r="C27" t="s">
        <v>977</v>
      </c>
      <c r="D27" t="s">
        <v>512</v>
      </c>
      <c r="E27" t="s">
        <v>513</v>
      </c>
      <c r="F27" t="s">
        <v>926</v>
      </c>
      <c r="I27" t="str">
        <f>ExporExpressoesDimensoesPainel[[#This Row],[ABA]]</f>
        <v>Resultado Financeiro</v>
      </c>
      <c r="J27" t="s">
        <v>1152</v>
      </c>
    </row>
    <row r="28" spans="1:10" x14ac:dyDescent="0.35">
      <c r="A28" t="s">
        <v>915</v>
      </c>
      <c r="B28" t="s">
        <v>971</v>
      </c>
      <c r="C28" t="s">
        <v>969</v>
      </c>
      <c r="D28" t="s">
        <v>512</v>
      </c>
      <c r="E28" t="s">
        <v>513</v>
      </c>
      <c r="F28" t="s">
        <v>920</v>
      </c>
      <c r="I28" t="str">
        <f>ExporExpressoesDimensoesPainel[[#This Row],[ABA]]</f>
        <v>Resultado Financeiro</v>
      </c>
      <c r="J28" t="s">
        <v>1152</v>
      </c>
    </row>
    <row r="29" spans="1:10" x14ac:dyDescent="0.35">
      <c r="A29" t="s">
        <v>915</v>
      </c>
      <c r="B29" t="s">
        <v>971</v>
      </c>
      <c r="C29" t="s">
        <v>978</v>
      </c>
      <c r="D29" t="s">
        <v>512</v>
      </c>
      <c r="E29" t="s">
        <v>513</v>
      </c>
      <c r="F29" t="s">
        <v>979</v>
      </c>
      <c r="I29" t="str">
        <f>ExporExpressoesDimensoesPainel[[#This Row],[ABA]]</f>
        <v>Resultado Financeiro</v>
      </c>
      <c r="J29" t="s">
        <v>1152</v>
      </c>
    </row>
    <row r="30" spans="1:10" x14ac:dyDescent="0.35">
      <c r="A30" t="s">
        <v>915</v>
      </c>
      <c r="B30" t="s">
        <v>971</v>
      </c>
      <c r="C30" t="s">
        <v>980</v>
      </c>
      <c r="D30" t="s">
        <v>512</v>
      </c>
      <c r="E30" t="s">
        <v>513</v>
      </c>
      <c r="F30" t="s">
        <v>981</v>
      </c>
      <c r="I30" t="str">
        <f>ExporExpressoesDimensoesPainel[[#This Row],[ABA]]</f>
        <v>Resultado Financeiro</v>
      </c>
      <c r="J30" t="s">
        <v>1152</v>
      </c>
    </row>
    <row r="31" spans="1:10" x14ac:dyDescent="0.35">
      <c r="A31" t="s">
        <v>915</v>
      </c>
      <c r="B31" t="s">
        <v>971</v>
      </c>
      <c r="C31" t="s">
        <v>982</v>
      </c>
      <c r="D31" t="s">
        <v>512</v>
      </c>
      <c r="E31" t="s">
        <v>513</v>
      </c>
      <c r="F31" t="s">
        <v>983</v>
      </c>
      <c r="I31" t="str">
        <f>ExporExpressoesDimensoesPainel[[#This Row],[ABA]]</f>
        <v>Resultado Financeiro</v>
      </c>
      <c r="J31" t="s">
        <v>1152</v>
      </c>
    </row>
    <row r="32" spans="1:10" x14ac:dyDescent="0.35">
      <c r="A32" t="s">
        <v>915</v>
      </c>
      <c r="B32" t="s">
        <v>971</v>
      </c>
      <c r="C32" t="s">
        <v>984</v>
      </c>
      <c r="D32" t="s">
        <v>512</v>
      </c>
      <c r="E32" t="s">
        <v>513</v>
      </c>
      <c r="F32" t="s">
        <v>985</v>
      </c>
      <c r="I32" t="str">
        <f>ExporExpressoesDimensoesPainel[[#This Row],[ABA]]</f>
        <v>Resultado Financeiro</v>
      </c>
      <c r="J32" t="s">
        <v>1152</v>
      </c>
    </row>
    <row r="33" spans="1:10" x14ac:dyDescent="0.35">
      <c r="A33" t="s">
        <v>915</v>
      </c>
      <c r="B33" t="s">
        <v>971</v>
      </c>
      <c r="C33" t="s">
        <v>986</v>
      </c>
      <c r="D33" t="s">
        <v>512</v>
      </c>
      <c r="E33" t="s">
        <v>513</v>
      </c>
      <c r="F33" t="s">
        <v>892</v>
      </c>
      <c r="I33" t="str">
        <f>ExporExpressoesDimensoesPainel[[#This Row],[ABA]]</f>
        <v>Resultado Financeiro</v>
      </c>
      <c r="J33" t="s">
        <v>1152</v>
      </c>
    </row>
    <row r="34" spans="1:10" x14ac:dyDescent="0.35">
      <c r="A34" t="s">
        <v>915</v>
      </c>
      <c r="B34" t="s">
        <v>971</v>
      </c>
      <c r="C34" t="s">
        <v>975</v>
      </c>
      <c r="D34" t="s">
        <v>512</v>
      </c>
      <c r="E34" t="s">
        <v>513</v>
      </c>
      <c r="F34" t="s">
        <v>987</v>
      </c>
      <c r="I34" t="str">
        <f>ExporExpressoesDimensoesPainel[[#This Row],[ABA]]</f>
        <v>Resultado Financeiro</v>
      </c>
      <c r="J34" t="s">
        <v>1152</v>
      </c>
    </row>
    <row r="35" spans="1:10" x14ac:dyDescent="0.35">
      <c r="A35" t="s">
        <v>915</v>
      </c>
      <c r="B35" t="s">
        <v>971</v>
      </c>
      <c r="C35" t="s">
        <v>988</v>
      </c>
      <c r="D35" t="s">
        <v>512</v>
      </c>
      <c r="E35" t="s">
        <v>513</v>
      </c>
      <c r="F35" t="s">
        <v>989</v>
      </c>
      <c r="I35" t="str">
        <f>ExporExpressoesDimensoesPainel[[#This Row],[ABA]]</f>
        <v>Resultado Financeiro</v>
      </c>
      <c r="J35" t="s">
        <v>1152</v>
      </c>
    </row>
    <row r="36" spans="1:10" x14ac:dyDescent="0.35">
      <c r="A36" t="s">
        <v>915</v>
      </c>
      <c r="B36" t="s">
        <v>971</v>
      </c>
      <c r="C36" t="s">
        <v>990</v>
      </c>
      <c r="D36" t="s">
        <v>512</v>
      </c>
      <c r="E36" t="s">
        <v>513</v>
      </c>
      <c r="F36" t="s">
        <v>991</v>
      </c>
      <c r="I36" t="str">
        <f>ExporExpressoesDimensoesPainel[[#This Row],[ABA]]</f>
        <v>Resultado Financeiro</v>
      </c>
      <c r="J36" t="s">
        <v>1152</v>
      </c>
    </row>
    <row r="37" spans="1:10" x14ac:dyDescent="0.35">
      <c r="A37" t="s">
        <v>915</v>
      </c>
      <c r="B37" t="s">
        <v>971</v>
      </c>
      <c r="C37" t="s">
        <v>1148</v>
      </c>
      <c r="D37" t="s">
        <v>512</v>
      </c>
      <c r="I37" s="2" t="str">
        <f>ExporExpressoesDimensoesPainel[[#This Row],[ABA]]</f>
        <v>Resultado Financeiro</v>
      </c>
      <c r="J37" t="s">
        <v>1153</v>
      </c>
    </row>
    <row r="38" spans="1:10" x14ac:dyDescent="0.35">
      <c r="A38" t="s">
        <v>915</v>
      </c>
      <c r="B38" t="s">
        <v>881</v>
      </c>
      <c r="C38" t="s">
        <v>964</v>
      </c>
      <c r="D38" t="s">
        <v>965</v>
      </c>
      <c r="E38" t="s">
        <v>513</v>
      </c>
      <c r="F38" t="s">
        <v>911</v>
      </c>
      <c r="I38" t="str">
        <f>ExporExpressoesDimensoesPainel[[#This Row],[ABA]]</f>
        <v>Resultado Financeiro</v>
      </c>
      <c r="J38" t="s">
        <v>1152</v>
      </c>
    </row>
    <row r="39" spans="1:10" x14ac:dyDescent="0.35">
      <c r="A39" t="s">
        <v>915</v>
      </c>
      <c r="B39" t="s">
        <v>881</v>
      </c>
      <c r="C39" t="s">
        <v>1148</v>
      </c>
      <c r="D39" t="s">
        <v>965</v>
      </c>
      <c r="I39" s="2" t="str">
        <f>ExporExpressoesDimensoesPainel[[#This Row],[ABA]]</f>
        <v>Resultado Financeiro</v>
      </c>
      <c r="J39" t="s">
        <v>1153</v>
      </c>
    </row>
    <row r="40" spans="1:10" x14ac:dyDescent="0.35">
      <c r="A40" t="s">
        <v>889</v>
      </c>
      <c r="B40" t="s">
        <v>882</v>
      </c>
      <c r="C40" t="s">
        <v>910</v>
      </c>
      <c r="D40" t="s">
        <v>512</v>
      </c>
      <c r="E40" t="s">
        <v>513</v>
      </c>
      <c r="F40" t="s">
        <v>911</v>
      </c>
      <c r="I40" t="str">
        <f>ExporExpressoesDimensoesPainel[[#This Row],[ABA]]</f>
        <v>Resultado Operacional</v>
      </c>
      <c r="J40" t="s">
        <v>1152</v>
      </c>
    </row>
    <row r="41" spans="1:10" x14ac:dyDescent="0.35">
      <c r="A41" t="s">
        <v>889</v>
      </c>
      <c r="B41" t="s">
        <v>882</v>
      </c>
      <c r="C41" t="s">
        <v>1148</v>
      </c>
      <c r="D41" t="s">
        <v>512</v>
      </c>
      <c r="I41" s="2" t="str">
        <f>ExporExpressoesDimensoesPainel[[#This Row],[ABA]]</f>
        <v>Resultado Operacional</v>
      </c>
      <c r="J41" t="s">
        <v>1153</v>
      </c>
    </row>
    <row r="42" spans="1:10" x14ac:dyDescent="0.35">
      <c r="A42" t="s">
        <v>889</v>
      </c>
      <c r="B42" t="s">
        <v>890</v>
      </c>
      <c r="C42" t="s">
        <v>891</v>
      </c>
      <c r="D42" t="s">
        <v>527</v>
      </c>
      <c r="E42" t="s">
        <v>513</v>
      </c>
      <c r="F42" t="s">
        <v>892</v>
      </c>
      <c r="I42" t="str">
        <f>ExporExpressoesDimensoesPainel[[#This Row],[ABA]]</f>
        <v>Resultado Operacional</v>
      </c>
      <c r="J42" t="s">
        <v>1152</v>
      </c>
    </row>
    <row r="43" spans="1:10" x14ac:dyDescent="0.35">
      <c r="A43" t="s">
        <v>889</v>
      </c>
      <c r="B43" t="s">
        <v>890</v>
      </c>
      <c r="C43" t="s">
        <v>891</v>
      </c>
      <c r="D43" t="s">
        <v>527</v>
      </c>
      <c r="E43" t="s">
        <v>513</v>
      </c>
      <c r="F43" t="s">
        <v>892</v>
      </c>
      <c r="I43" s="2" t="str">
        <f>ExporExpressoesDimensoesPainel[[#This Row],[ABA]]</f>
        <v>Resultado Operacional</v>
      </c>
      <c r="J43" t="s">
        <v>1153</v>
      </c>
    </row>
    <row r="44" spans="1:10" x14ac:dyDescent="0.35">
      <c r="A44" t="s">
        <v>915</v>
      </c>
      <c r="B44" t="s">
        <v>883</v>
      </c>
      <c r="C44" t="s">
        <v>966</v>
      </c>
      <c r="D44" t="s">
        <v>527</v>
      </c>
      <c r="E44" t="s">
        <v>513</v>
      </c>
      <c r="F44" t="s">
        <v>924</v>
      </c>
      <c r="I44" t="str">
        <f>ExporExpressoesDimensoesPainel[[#This Row],[ABA]]</f>
        <v>Resultado Financeiro</v>
      </c>
      <c r="J44" t="s">
        <v>1152</v>
      </c>
    </row>
    <row r="45" spans="1:10" x14ac:dyDescent="0.35">
      <c r="A45" t="s">
        <v>915</v>
      </c>
      <c r="B45" t="s">
        <v>883</v>
      </c>
      <c r="C45" t="s">
        <v>967</v>
      </c>
      <c r="D45" t="s">
        <v>527</v>
      </c>
      <c r="E45" t="s">
        <v>513</v>
      </c>
      <c r="F45" t="s">
        <v>968</v>
      </c>
      <c r="I45" t="str">
        <f>ExporExpressoesDimensoesPainel[[#This Row],[ABA]]</f>
        <v>Resultado Financeiro</v>
      </c>
      <c r="J45" t="s">
        <v>1152</v>
      </c>
    </row>
    <row r="46" spans="1:10" x14ac:dyDescent="0.35">
      <c r="A46" t="s">
        <v>915</v>
      </c>
      <c r="B46" t="s">
        <v>883</v>
      </c>
      <c r="C46" t="s">
        <v>1148</v>
      </c>
      <c r="D46" t="s">
        <v>527</v>
      </c>
      <c r="I46" s="2" t="str">
        <f>ExporExpressoesDimensoesPainel[[#This Row],[ABA]]</f>
        <v>Resultado Financeiro</v>
      </c>
      <c r="J46" t="s">
        <v>1153</v>
      </c>
    </row>
    <row r="47" spans="1:10" x14ac:dyDescent="0.35">
      <c r="A47" t="s">
        <v>915</v>
      </c>
      <c r="B47" t="s">
        <v>963</v>
      </c>
      <c r="C47" t="s">
        <v>526</v>
      </c>
      <c r="D47" t="s">
        <v>517</v>
      </c>
      <c r="E47" t="s">
        <v>503</v>
      </c>
      <c r="F47" t="s">
        <v>951</v>
      </c>
      <c r="I47" t="str">
        <f>ExporExpressoesDimensoesPainel[[#This Row],[ABA]]</f>
        <v>Resultado Financeiro</v>
      </c>
      <c r="J47" t="s">
        <v>1152</v>
      </c>
    </row>
    <row r="48" spans="1:10" x14ac:dyDescent="0.35">
      <c r="A48" t="s">
        <v>915</v>
      </c>
      <c r="B48" t="s">
        <v>963</v>
      </c>
      <c r="C48" t="s">
        <v>952</v>
      </c>
      <c r="D48" t="s">
        <v>517</v>
      </c>
      <c r="E48" t="s">
        <v>503</v>
      </c>
      <c r="F48" t="s">
        <v>775</v>
      </c>
      <c r="I48" t="str">
        <f>ExporExpressoesDimensoesPainel[[#This Row],[ABA]]</f>
        <v>Resultado Financeiro</v>
      </c>
      <c r="J48" t="s">
        <v>1152</v>
      </c>
    </row>
    <row r="49" spans="1:10" x14ac:dyDescent="0.35">
      <c r="A49" t="s">
        <v>915</v>
      </c>
      <c r="B49" t="s">
        <v>963</v>
      </c>
      <c r="C49" t="s">
        <v>530</v>
      </c>
      <c r="D49" t="s">
        <v>517</v>
      </c>
      <c r="E49" t="s">
        <v>513</v>
      </c>
      <c r="F49">
        <v>1</v>
      </c>
      <c r="I49" t="str">
        <f>ExporExpressoesDimensoesPainel[[#This Row],[ABA]]</f>
        <v>Resultado Financeiro</v>
      </c>
      <c r="J49" t="s">
        <v>1152</v>
      </c>
    </row>
    <row r="50" spans="1:10" x14ac:dyDescent="0.35">
      <c r="A50" t="s">
        <v>915</v>
      </c>
      <c r="B50" t="s">
        <v>884</v>
      </c>
      <c r="C50" t="s">
        <v>992</v>
      </c>
      <c r="D50" t="s">
        <v>527</v>
      </c>
      <c r="E50" t="s">
        <v>513</v>
      </c>
      <c r="F50" t="s">
        <v>993</v>
      </c>
      <c r="I50" t="str">
        <f>ExporExpressoesDimensoesPainel[[#This Row],[ABA]]</f>
        <v>Resultado Financeiro</v>
      </c>
      <c r="J50" t="s">
        <v>1152</v>
      </c>
    </row>
    <row r="51" spans="1:10" x14ac:dyDescent="0.35">
      <c r="A51" t="s">
        <v>915</v>
      </c>
      <c r="B51" t="s">
        <v>884</v>
      </c>
      <c r="C51" t="s">
        <v>967</v>
      </c>
      <c r="D51" t="s">
        <v>527</v>
      </c>
      <c r="E51" t="s">
        <v>513</v>
      </c>
      <c r="F51" t="s">
        <v>994</v>
      </c>
      <c r="I51" t="str">
        <f>ExporExpressoesDimensoesPainel[[#This Row],[ABA]]</f>
        <v>Resultado Financeiro</v>
      </c>
      <c r="J51" t="s">
        <v>1152</v>
      </c>
    </row>
    <row r="52" spans="1:10" x14ac:dyDescent="0.35">
      <c r="A52" t="s">
        <v>915</v>
      </c>
      <c r="B52" t="s">
        <v>884</v>
      </c>
      <c r="C52" t="s">
        <v>1148</v>
      </c>
      <c r="D52" t="s">
        <v>527</v>
      </c>
      <c r="I52" s="2" t="str">
        <f>ExporExpressoesDimensoesPainel[[#This Row],[ABA]]</f>
        <v>Resultado Financeiro</v>
      </c>
      <c r="J52" t="s">
        <v>1153</v>
      </c>
    </row>
    <row r="53" spans="1:10" x14ac:dyDescent="0.35">
      <c r="A53" t="s">
        <v>889</v>
      </c>
      <c r="B53" t="s">
        <v>862</v>
      </c>
      <c r="C53" t="s">
        <v>945</v>
      </c>
      <c r="D53" t="s">
        <v>917</v>
      </c>
      <c r="E53" t="s">
        <v>513</v>
      </c>
      <c r="F53" t="s">
        <v>946</v>
      </c>
      <c r="I53" t="str">
        <f>ExporExpressoesDimensoesPainel[[#This Row],[ABA]]</f>
        <v>Resultado Operacional</v>
      </c>
      <c r="J53" t="s">
        <v>1152</v>
      </c>
    </row>
    <row r="54" spans="1:10" x14ac:dyDescent="0.35">
      <c r="A54" t="s">
        <v>889</v>
      </c>
      <c r="B54" t="s">
        <v>862</v>
      </c>
      <c r="C54" t="s">
        <v>947</v>
      </c>
      <c r="D54" t="s">
        <v>917</v>
      </c>
      <c r="E54" t="s">
        <v>513</v>
      </c>
      <c r="F54" t="s">
        <v>948</v>
      </c>
      <c r="I54" t="str">
        <f>ExporExpressoesDimensoesPainel[[#This Row],[ABA]]</f>
        <v>Resultado Operacional</v>
      </c>
      <c r="J54" t="s">
        <v>1152</v>
      </c>
    </row>
    <row r="55" spans="1:10" x14ac:dyDescent="0.35">
      <c r="A55" t="s">
        <v>889</v>
      </c>
      <c r="B55" t="s">
        <v>862</v>
      </c>
      <c r="C55" t="s">
        <v>949</v>
      </c>
      <c r="D55" t="s">
        <v>917</v>
      </c>
      <c r="E55" t="s">
        <v>513</v>
      </c>
      <c r="F55" t="s">
        <v>950</v>
      </c>
      <c r="I55" t="str">
        <f>ExporExpressoesDimensoesPainel[[#This Row],[ABA]]</f>
        <v>Resultado Operacional</v>
      </c>
      <c r="J55" t="s">
        <v>1152</v>
      </c>
    </row>
    <row r="56" spans="1:10" x14ac:dyDescent="0.35">
      <c r="A56" t="s">
        <v>889</v>
      </c>
      <c r="B56" t="s">
        <v>862</v>
      </c>
      <c r="C56" t="s">
        <v>1148</v>
      </c>
      <c r="D56" t="s">
        <v>917</v>
      </c>
      <c r="I56" s="2" t="str">
        <f>ExporExpressoesDimensoesPainel[[#This Row],[ABA]]</f>
        <v>Resultado Operacional</v>
      </c>
      <c r="J56" t="s">
        <v>1153</v>
      </c>
    </row>
    <row r="57" spans="1:10" x14ac:dyDescent="0.35">
      <c r="A57" t="s">
        <v>915</v>
      </c>
      <c r="B57" t="s">
        <v>885</v>
      </c>
      <c r="C57" t="s">
        <v>957</v>
      </c>
      <c r="D57" t="s">
        <v>574</v>
      </c>
      <c r="E57" t="s">
        <v>503</v>
      </c>
      <c r="F57" t="s">
        <v>894</v>
      </c>
      <c r="I57" t="str">
        <f>ExporExpressoesDimensoesPainel[[#This Row],[ABA]]</f>
        <v>Resultado Financeiro</v>
      </c>
      <c r="J57" t="s">
        <v>1152</v>
      </c>
    </row>
    <row r="58" spans="1:10" x14ac:dyDescent="0.35">
      <c r="A58" t="s">
        <v>915</v>
      </c>
      <c r="B58" t="s">
        <v>885</v>
      </c>
      <c r="C58" t="s">
        <v>958</v>
      </c>
      <c r="D58" t="s">
        <v>574</v>
      </c>
      <c r="E58" t="s">
        <v>513</v>
      </c>
      <c r="F58" t="s">
        <v>956</v>
      </c>
      <c r="I58" t="str">
        <f>ExporExpressoesDimensoesPainel[[#This Row],[ABA]]</f>
        <v>Resultado Financeiro</v>
      </c>
      <c r="J58" t="s">
        <v>1152</v>
      </c>
    </row>
    <row r="59" spans="1:10" x14ac:dyDescent="0.35">
      <c r="A59" t="s">
        <v>915</v>
      </c>
      <c r="B59" t="s">
        <v>885</v>
      </c>
      <c r="C59" t="s">
        <v>1148</v>
      </c>
      <c r="D59" t="s">
        <v>574</v>
      </c>
      <c r="I59" s="2" t="str">
        <f>ExporExpressoesDimensoesPainel[[#This Row],[ABA]]</f>
        <v>Resultado Financeiro</v>
      </c>
      <c r="J59" t="s">
        <v>1153</v>
      </c>
    </row>
    <row r="60" spans="1:10" x14ac:dyDescent="0.35">
      <c r="A60" t="s">
        <v>915</v>
      </c>
      <c r="B60" t="s">
        <v>1138</v>
      </c>
      <c r="C60" t="s">
        <v>1148</v>
      </c>
      <c r="D60" t="s">
        <v>528</v>
      </c>
      <c r="I60" s="2" t="str">
        <f>ExporExpressoesDimensoesPainel[[#This Row],[ABA]]</f>
        <v>Resultado Financeiro</v>
      </c>
      <c r="J60" t="s">
        <v>1153</v>
      </c>
    </row>
    <row r="61" spans="1:10" x14ac:dyDescent="0.35">
      <c r="A61" t="s">
        <v>889</v>
      </c>
      <c r="B61" t="s">
        <v>869</v>
      </c>
      <c r="C61" t="s">
        <v>938</v>
      </c>
      <c r="D61" t="s">
        <v>574</v>
      </c>
      <c r="E61" t="s">
        <v>503</v>
      </c>
      <c r="F61" t="s">
        <v>894</v>
      </c>
      <c r="I61" t="str">
        <f>ExporExpressoesDimensoesPainel[[#This Row],[ABA]]</f>
        <v>Resultado Operacional</v>
      </c>
      <c r="J61" t="s">
        <v>1152</v>
      </c>
    </row>
    <row r="62" spans="1:10" x14ac:dyDescent="0.35">
      <c r="A62" t="s">
        <v>889</v>
      </c>
      <c r="B62" t="s">
        <v>869</v>
      </c>
      <c r="C62" t="s">
        <v>939</v>
      </c>
      <c r="D62" t="s">
        <v>574</v>
      </c>
      <c r="E62" t="s">
        <v>503</v>
      </c>
      <c r="F62" t="s">
        <v>896</v>
      </c>
      <c r="I62" t="str">
        <f>ExporExpressoesDimensoesPainel[[#This Row],[ABA]]</f>
        <v>Resultado Operacional</v>
      </c>
      <c r="J62" t="s">
        <v>1152</v>
      </c>
    </row>
    <row r="63" spans="1:10" x14ac:dyDescent="0.35">
      <c r="A63" t="s">
        <v>889</v>
      </c>
      <c r="B63" t="s">
        <v>869</v>
      </c>
      <c r="C63" t="s">
        <v>940</v>
      </c>
      <c r="D63" t="s">
        <v>574</v>
      </c>
      <c r="E63" t="s">
        <v>513</v>
      </c>
      <c r="F63" t="s">
        <v>937</v>
      </c>
      <c r="I63" t="str">
        <f>ExporExpressoesDimensoesPainel[[#This Row],[ABA]]</f>
        <v>Resultado Operacional</v>
      </c>
      <c r="J63" t="s">
        <v>1152</v>
      </c>
    </row>
    <row r="64" spans="1:10" x14ac:dyDescent="0.35">
      <c r="A64" t="s">
        <v>889</v>
      </c>
      <c r="B64" t="s">
        <v>869</v>
      </c>
      <c r="C64" t="s">
        <v>1148</v>
      </c>
      <c r="D64" t="s">
        <v>574</v>
      </c>
      <c r="I64" s="2" t="str">
        <f>ExporExpressoesDimensoesPainel[[#This Row],[ABA]]</f>
        <v>Resultado Operacional</v>
      </c>
      <c r="J64" t="s">
        <v>1153</v>
      </c>
    </row>
    <row r="65" spans="1:10" x14ac:dyDescent="0.35">
      <c r="A65" t="s">
        <v>889</v>
      </c>
      <c r="B65" t="s">
        <v>866</v>
      </c>
      <c r="C65" t="s">
        <v>959</v>
      </c>
      <c r="D65" t="s">
        <v>546</v>
      </c>
      <c r="E65" t="s">
        <v>503</v>
      </c>
      <c r="F65" t="s">
        <v>826</v>
      </c>
      <c r="I65" t="str">
        <f>ExporExpressoesDimensoesPainel[[#This Row],[ABA]]</f>
        <v>Resultado Operacional</v>
      </c>
      <c r="J65" t="s">
        <v>1152</v>
      </c>
    </row>
    <row r="66" spans="1:10" x14ac:dyDescent="0.35">
      <c r="A66" t="s">
        <v>889</v>
      </c>
      <c r="B66" t="s">
        <v>866</v>
      </c>
      <c r="C66" t="s">
        <v>960</v>
      </c>
      <c r="D66" t="s">
        <v>546</v>
      </c>
      <c r="E66" t="s">
        <v>513</v>
      </c>
      <c r="F66" t="s">
        <v>937</v>
      </c>
      <c r="I66" t="str">
        <f>ExporExpressoesDimensoesPainel[[#This Row],[ABA]]</f>
        <v>Resultado Operacional</v>
      </c>
      <c r="J66" t="s">
        <v>1152</v>
      </c>
    </row>
    <row r="67" spans="1:10" x14ac:dyDescent="0.35">
      <c r="A67" t="s">
        <v>889</v>
      </c>
      <c r="B67" t="s">
        <v>866</v>
      </c>
      <c r="C67" t="s">
        <v>960</v>
      </c>
      <c r="D67" t="s">
        <v>546</v>
      </c>
      <c r="E67" t="s">
        <v>513</v>
      </c>
      <c r="F67" t="s">
        <v>898</v>
      </c>
      <c r="I67" t="str">
        <f>ExporExpressoesDimensoesPainel[[#This Row],[ABA]]</f>
        <v>Resultado Operacional</v>
      </c>
      <c r="J67" t="s">
        <v>1152</v>
      </c>
    </row>
    <row r="68" spans="1:10" x14ac:dyDescent="0.35">
      <c r="A68" t="s">
        <v>889</v>
      </c>
      <c r="B68" t="s">
        <v>866</v>
      </c>
      <c r="C68" t="s">
        <v>1148</v>
      </c>
      <c r="D68" t="s">
        <v>546</v>
      </c>
      <c r="I68" s="2" t="str">
        <f>ExporExpressoesDimensoesPainel[[#This Row],[ABA]]</f>
        <v>Resultado Operacional</v>
      </c>
      <c r="J68" t="s">
        <v>1153</v>
      </c>
    </row>
    <row r="69" spans="1:10" x14ac:dyDescent="0.35">
      <c r="A69" t="s">
        <v>915</v>
      </c>
      <c r="B69" t="s">
        <v>886</v>
      </c>
      <c r="C69" t="s">
        <v>995</v>
      </c>
      <c r="D69" t="s">
        <v>527</v>
      </c>
      <c r="E69" t="s">
        <v>513</v>
      </c>
      <c r="F69" t="s">
        <v>922</v>
      </c>
      <c r="I69" t="str">
        <f>ExporExpressoesDimensoesPainel[[#This Row],[ABA]]</f>
        <v>Resultado Financeiro</v>
      </c>
      <c r="J69" t="s">
        <v>1152</v>
      </c>
    </row>
    <row r="70" spans="1:10" x14ac:dyDescent="0.35">
      <c r="A70" t="s">
        <v>915</v>
      </c>
      <c r="B70" t="s">
        <v>886</v>
      </c>
      <c r="C70" t="s">
        <v>967</v>
      </c>
      <c r="D70" t="s">
        <v>527</v>
      </c>
      <c r="E70" t="s">
        <v>513</v>
      </c>
      <c r="F70" t="s">
        <v>996</v>
      </c>
      <c r="I70" t="str">
        <f>ExporExpressoesDimensoesPainel[[#This Row],[ABA]]</f>
        <v>Resultado Financeiro</v>
      </c>
      <c r="J70" t="s">
        <v>1152</v>
      </c>
    </row>
    <row r="71" spans="1:10" x14ac:dyDescent="0.35">
      <c r="A71" t="s">
        <v>915</v>
      </c>
      <c r="B71" t="s">
        <v>886</v>
      </c>
      <c r="C71" t="s">
        <v>1148</v>
      </c>
      <c r="D71" t="s">
        <v>527</v>
      </c>
      <c r="I71" s="2" t="str">
        <f>ExporExpressoesDimensoesPainel[[#This Row],[ABA]]</f>
        <v>Resultado Financeiro</v>
      </c>
      <c r="J71" t="s">
        <v>1153</v>
      </c>
    </row>
    <row r="72" spans="1:10" x14ac:dyDescent="0.35">
      <c r="A72" t="s">
        <v>915</v>
      </c>
      <c r="B72" t="s">
        <v>839</v>
      </c>
      <c r="C72" t="s">
        <v>953</v>
      </c>
      <c r="D72" t="s">
        <v>546</v>
      </c>
      <c r="E72" t="s">
        <v>503</v>
      </c>
      <c r="F72" t="s">
        <v>826</v>
      </c>
      <c r="I72" t="str">
        <f>ExporExpressoesDimensoesPainel[[#This Row],[ABA]]</f>
        <v>Resultado Financeiro</v>
      </c>
      <c r="J72" t="s">
        <v>1152</v>
      </c>
    </row>
    <row r="73" spans="1:10" x14ac:dyDescent="0.35">
      <c r="A73" t="s">
        <v>915</v>
      </c>
      <c r="B73" t="s">
        <v>839</v>
      </c>
      <c r="C73" t="s">
        <v>954</v>
      </c>
      <c r="D73" t="s">
        <v>546</v>
      </c>
      <c r="E73" t="s">
        <v>513</v>
      </c>
      <c r="F73" t="s">
        <v>937</v>
      </c>
      <c r="I73" t="str">
        <f>ExporExpressoesDimensoesPainel[[#This Row],[ABA]]</f>
        <v>Resultado Financeiro</v>
      </c>
      <c r="J73" t="s">
        <v>1152</v>
      </c>
    </row>
    <row r="74" spans="1:10" x14ac:dyDescent="0.35">
      <c r="A74" t="s">
        <v>915</v>
      </c>
      <c r="B74" t="s">
        <v>839</v>
      </c>
      <c r="C74" t="s">
        <v>955</v>
      </c>
      <c r="D74" t="s">
        <v>546</v>
      </c>
      <c r="E74" t="s">
        <v>513</v>
      </c>
      <c r="F74" t="s">
        <v>956</v>
      </c>
      <c r="I74" t="str">
        <f>ExporExpressoesDimensoesPainel[[#This Row],[ABA]]</f>
        <v>Resultado Financeiro</v>
      </c>
      <c r="J74" t="s">
        <v>1152</v>
      </c>
    </row>
    <row r="75" spans="1:10" x14ac:dyDescent="0.35">
      <c r="A75" t="s">
        <v>889</v>
      </c>
      <c r="B75" t="s">
        <v>867</v>
      </c>
      <c r="C75" t="s">
        <v>934</v>
      </c>
      <c r="D75" t="s">
        <v>584</v>
      </c>
      <c r="E75" t="s">
        <v>503</v>
      </c>
      <c r="F75" t="s">
        <v>482</v>
      </c>
      <c r="I75" t="str">
        <f>ExporExpressoesDimensoesPainel[[#This Row],[ABA]]</f>
        <v>Resultado Operacional</v>
      </c>
      <c r="J75" t="s">
        <v>1152</v>
      </c>
    </row>
    <row r="76" spans="1:10" x14ac:dyDescent="0.35">
      <c r="A76" t="s">
        <v>889</v>
      </c>
      <c r="B76" t="s">
        <v>867</v>
      </c>
      <c r="C76" t="s">
        <v>934</v>
      </c>
      <c r="D76" t="s">
        <v>584</v>
      </c>
      <c r="E76" t="s">
        <v>503</v>
      </c>
      <c r="F76" t="s">
        <v>503</v>
      </c>
      <c r="I76" t="str">
        <f>ExporExpressoesDimensoesPainel[[#This Row],[ABA]]</f>
        <v>Resultado Operacional</v>
      </c>
      <c r="J76" t="s">
        <v>1152</v>
      </c>
    </row>
    <row r="77" spans="1:10" x14ac:dyDescent="0.35">
      <c r="A77" t="s">
        <v>889</v>
      </c>
      <c r="B77" t="s">
        <v>867</v>
      </c>
      <c r="C77" t="s">
        <v>934</v>
      </c>
      <c r="D77" t="s">
        <v>584</v>
      </c>
      <c r="E77" t="s">
        <v>513</v>
      </c>
      <c r="F77">
        <v>1</v>
      </c>
      <c r="I77" t="str">
        <f>ExporExpressoesDimensoesPainel[[#This Row],[ABA]]</f>
        <v>Resultado Operacional</v>
      </c>
      <c r="J77" t="s">
        <v>1152</v>
      </c>
    </row>
    <row r="78" spans="1:10" x14ac:dyDescent="0.35">
      <c r="A78" t="s">
        <v>889</v>
      </c>
      <c r="B78" t="s">
        <v>867</v>
      </c>
      <c r="C78" t="s">
        <v>1148</v>
      </c>
      <c r="D78" t="s">
        <v>584</v>
      </c>
      <c r="I78" s="2" t="str">
        <f>ExporExpressoesDimensoesPainel[[#This Row],[ABA]]</f>
        <v>Resultado Operacional</v>
      </c>
      <c r="J78" t="s">
        <v>1153</v>
      </c>
    </row>
    <row r="79" spans="1:10" x14ac:dyDescent="0.35">
      <c r="A79" t="s">
        <v>915</v>
      </c>
      <c r="B79" t="s">
        <v>1012</v>
      </c>
      <c r="C79" t="s">
        <v>526</v>
      </c>
      <c r="D79" t="s">
        <v>528</v>
      </c>
      <c r="H79" t="s">
        <v>1045</v>
      </c>
      <c r="I79" t="str">
        <f>ExporExpressoesDimensoesPainel[[#This Row],[ABA]]</f>
        <v>Resultado Financeiro</v>
      </c>
      <c r="J79" t="s">
        <v>1152</v>
      </c>
    </row>
    <row r="80" spans="1:10" x14ac:dyDescent="0.35">
      <c r="A80" t="s">
        <v>915</v>
      </c>
      <c r="B80" t="s">
        <v>1012</v>
      </c>
      <c r="C80" t="s">
        <v>1148</v>
      </c>
      <c r="D80" t="s">
        <v>528</v>
      </c>
      <c r="I80" s="2" t="str">
        <f>ExporExpressoesDimensoesPainel[[#This Row],[ABA]]</f>
        <v>Resultado Financeiro</v>
      </c>
      <c r="J80" t="s">
        <v>1153</v>
      </c>
    </row>
    <row r="81" spans="1:10" x14ac:dyDescent="0.35">
      <c r="A81" t="s">
        <v>889</v>
      </c>
      <c r="B81" t="s">
        <v>859</v>
      </c>
      <c r="C81" t="s">
        <v>899</v>
      </c>
      <c r="D81" t="s">
        <v>900</v>
      </c>
      <c r="E81" t="s">
        <v>503</v>
      </c>
      <c r="F81" t="s">
        <v>825</v>
      </c>
      <c r="I81" t="str">
        <f>ExporExpressoesDimensoesPainel[[#This Row],[ABA]]</f>
        <v>Resultado Operacional</v>
      </c>
      <c r="J81" t="s">
        <v>1152</v>
      </c>
    </row>
    <row r="82" spans="1:10" x14ac:dyDescent="0.35">
      <c r="A82" t="s">
        <v>889</v>
      </c>
      <c r="B82" t="s">
        <v>859</v>
      </c>
      <c r="C82" t="s">
        <v>901</v>
      </c>
      <c r="D82" t="s">
        <v>900</v>
      </c>
      <c r="E82" t="s">
        <v>513</v>
      </c>
      <c r="F82" t="s">
        <v>902</v>
      </c>
      <c r="I82" t="str">
        <f>ExporExpressoesDimensoesPainel[[#This Row],[ABA]]</f>
        <v>Resultado Operacional</v>
      </c>
      <c r="J82" t="s">
        <v>1152</v>
      </c>
    </row>
    <row r="83" spans="1:10" x14ac:dyDescent="0.35">
      <c r="A83" t="s">
        <v>889</v>
      </c>
      <c r="B83" t="s">
        <v>859</v>
      </c>
      <c r="C83" t="s">
        <v>1148</v>
      </c>
      <c r="D83" t="s">
        <v>900</v>
      </c>
      <c r="I83" s="2" t="str">
        <f>ExporExpressoesDimensoesPainel[[#This Row],[ABA]]</f>
        <v>Resultado Operacional</v>
      </c>
      <c r="J83" t="s">
        <v>1153</v>
      </c>
    </row>
    <row r="84" spans="1:10" x14ac:dyDescent="0.35">
      <c r="A84" t="s">
        <v>915</v>
      </c>
      <c r="B84" t="s">
        <v>962</v>
      </c>
      <c r="C84" t="s">
        <v>891</v>
      </c>
      <c r="D84" t="s">
        <v>527</v>
      </c>
      <c r="E84" t="s">
        <v>513</v>
      </c>
      <c r="F84" t="s">
        <v>892</v>
      </c>
      <c r="I84" t="str">
        <f>ExporExpressoesDimensoesPainel[[#This Row],[ABA]]</f>
        <v>Resultado Financeiro</v>
      </c>
      <c r="J84" t="s">
        <v>1152</v>
      </c>
    </row>
    <row r="85" spans="1:10" x14ac:dyDescent="0.35">
      <c r="A85" t="s">
        <v>915</v>
      </c>
      <c r="B85" t="s">
        <v>962</v>
      </c>
      <c r="C85" t="s">
        <v>891</v>
      </c>
      <c r="D85" t="s">
        <v>527</v>
      </c>
      <c r="E85" t="s">
        <v>513</v>
      </c>
      <c r="F85" t="s">
        <v>892</v>
      </c>
      <c r="I85" s="2" t="str">
        <f>ExporExpressoesDimensoesPainel[[#This Row],[ABA]]</f>
        <v>Resultado Financeiro</v>
      </c>
      <c r="J85" t="s">
        <v>1153</v>
      </c>
    </row>
    <row r="86" spans="1:10" x14ac:dyDescent="0.35">
      <c r="A86" t="s">
        <v>1017</v>
      </c>
      <c r="B86" t="s">
        <v>1022</v>
      </c>
      <c r="C86" t="s">
        <v>1023</v>
      </c>
      <c r="D86" t="s">
        <v>527</v>
      </c>
      <c r="E86" t="s">
        <v>513</v>
      </c>
      <c r="F86" t="s">
        <v>1024</v>
      </c>
      <c r="I86" t="str">
        <f>ExporExpressoesDimensoesPainel[[#This Row],[ABA]]</f>
        <v>Informações Gerais:</v>
      </c>
      <c r="J86" t="s">
        <v>1152</v>
      </c>
    </row>
    <row r="87" spans="1:10" x14ac:dyDescent="0.35">
      <c r="A87" t="s">
        <v>1150</v>
      </c>
      <c r="B87" t="s">
        <v>1022</v>
      </c>
      <c r="C87" t="s">
        <v>1148</v>
      </c>
      <c r="D87" t="s">
        <v>527</v>
      </c>
      <c r="I87" s="2" t="str">
        <f>ExporExpressoesDimensoesPainel[[#This Row],[ABA]]</f>
        <v>Informações sobre o Painel</v>
      </c>
      <c r="J87" t="s">
        <v>1153</v>
      </c>
    </row>
    <row r="88" spans="1:10" x14ac:dyDescent="0.35">
      <c r="A88" t="s">
        <v>889</v>
      </c>
      <c r="B88" t="s">
        <v>856</v>
      </c>
      <c r="C88" t="s">
        <v>526</v>
      </c>
      <c r="D88" t="s">
        <v>528</v>
      </c>
      <c r="H88" t="s">
        <v>1045</v>
      </c>
      <c r="I88" t="str">
        <f>ExporExpressoesDimensoesPainel[[#This Row],[ABA]]</f>
        <v>Resultado Operacional</v>
      </c>
      <c r="J88" t="s">
        <v>1152</v>
      </c>
    </row>
    <row r="89" spans="1:10" x14ac:dyDescent="0.35">
      <c r="A89" t="s">
        <v>889</v>
      </c>
      <c r="B89" t="s">
        <v>856</v>
      </c>
      <c r="C89" t="s">
        <v>1148</v>
      </c>
      <c r="D89" t="s">
        <v>528</v>
      </c>
      <c r="I89" s="2" t="str">
        <f>ExporExpressoesDimensoesPainel[[#This Row],[ABA]]</f>
        <v>Resultado Operacional</v>
      </c>
      <c r="J89" t="s">
        <v>1153</v>
      </c>
    </row>
    <row r="90" spans="1:10" x14ac:dyDescent="0.35">
      <c r="A90" t="s">
        <v>889</v>
      </c>
      <c r="B90" t="s">
        <v>858</v>
      </c>
      <c r="C90" t="s">
        <v>530</v>
      </c>
      <c r="D90" t="s">
        <v>512</v>
      </c>
      <c r="E90" t="s">
        <v>513</v>
      </c>
      <c r="F90" t="s">
        <v>892</v>
      </c>
      <c r="I90" t="str">
        <f>ExporExpressoesDimensoesPainel[[#This Row],[ABA]]</f>
        <v>Resultado Operacional</v>
      </c>
      <c r="J90" t="s">
        <v>1152</v>
      </c>
    </row>
    <row r="91" spans="1:10" x14ac:dyDescent="0.35">
      <c r="A91" t="s">
        <v>889</v>
      </c>
      <c r="B91" t="s">
        <v>858</v>
      </c>
      <c r="C91" t="s">
        <v>1148</v>
      </c>
      <c r="D91" t="s">
        <v>512</v>
      </c>
      <c r="I91" s="2" t="str">
        <f>ExporExpressoesDimensoesPainel[[#This Row],[ABA]]</f>
        <v>Resultado Operacional</v>
      </c>
      <c r="J91" t="s">
        <v>1153</v>
      </c>
    </row>
    <row r="92" spans="1:10" x14ac:dyDescent="0.35">
      <c r="A92" t="s">
        <v>915</v>
      </c>
      <c r="B92" t="s">
        <v>887</v>
      </c>
      <c r="C92" t="s">
        <v>916</v>
      </c>
      <c r="D92" t="s">
        <v>917</v>
      </c>
      <c r="E92" t="s">
        <v>513</v>
      </c>
      <c r="F92" t="s">
        <v>918</v>
      </c>
      <c r="I92" t="str">
        <f>ExporExpressoesDimensoesPainel[[#This Row],[ABA]]</f>
        <v>Resultado Financeiro</v>
      </c>
      <c r="J92" t="s">
        <v>1152</v>
      </c>
    </row>
    <row r="93" spans="1:10" x14ac:dyDescent="0.35">
      <c r="A93" t="s">
        <v>915</v>
      </c>
      <c r="B93" t="s">
        <v>887</v>
      </c>
      <c r="C93" t="s">
        <v>919</v>
      </c>
      <c r="D93" t="s">
        <v>917</v>
      </c>
      <c r="E93" t="s">
        <v>513</v>
      </c>
      <c r="F93" t="s">
        <v>920</v>
      </c>
      <c r="I93" t="str">
        <f>ExporExpressoesDimensoesPainel[[#This Row],[ABA]]</f>
        <v>Resultado Financeiro</v>
      </c>
      <c r="J93" t="s">
        <v>1152</v>
      </c>
    </row>
    <row r="94" spans="1:10" x14ac:dyDescent="0.35">
      <c r="A94" t="s">
        <v>915</v>
      </c>
      <c r="B94" t="s">
        <v>887</v>
      </c>
      <c r="C94" t="s">
        <v>921</v>
      </c>
      <c r="D94" t="s">
        <v>917</v>
      </c>
      <c r="E94" t="s">
        <v>513</v>
      </c>
      <c r="F94" t="s">
        <v>922</v>
      </c>
      <c r="I94" t="str">
        <f>ExporExpressoesDimensoesPainel[[#This Row],[ABA]]</f>
        <v>Resultado Financeiro</v>
      </c>
      <c r="J94" t="s">
        <v>1152</v>
      </c>
    </row>
    <row r="95" spans="1:10" x14ac:dyDescent="0.35">
      <c r="A95" t="s">
        <v>915</v>
      </c>
      <c r="B95" t="s">
        <v>887</v>
      </c>
      <c r="C95" t="s">
        <v>923</v>
      </c>
      <c r="D95" t="s">
        <v>917</v>
      </c>
      <c r="E95" t="s">
        <v>513</v>
      </c>
      <c r="F95" t="s">
        <v>924</v>
      </c>
      <c r="I95" t="str">
        <f>ExporExpressoesDimensoesPainel[[#This Row],[ABA]]</f>
        <v>Resultado Financeiro</v>
      </c>
      <c r="J95" t="s">
        <v>1152</v>
      </c>
    </row>
    <row r="96" spans="1:10" x14ac:dyDescent="0.35">
      <c r="A96" t="s">
        <v>915</v>
      </c>
      <c r="B96" t="s">
        <v>887</v>
      </c>
      <c r="C96" t="s">
        <v>925</v>
      </c>
      <c r="D96" t="s">
        <v>917</v>
      </c>
      <c r="E96" t="s">
        <v>513</v>
      </c>
      <c r="F96" t="s">
        <v>926</v>
      </c>
      <c r="I96" t="str">
        <f>ExporExpressoesDimensoesPainel[[#This Row],[ABA]]</f>
        <v>Resultado Financeiro</v>
      </c>
      <c r="J96" t="s">
        <v>1152</v>
      </c>
    </row>
    <row r="97" spans="1:10" x14ac:dyDescent="0.35">
      <c r="A97" t="s">
        <v>915</v>
      </c>
      <c r="B97" t="s">
        <v>887</v>
      </c>
      <c r="C97" t="s">
        <v>927</v>
      </c>
      <c r="D97" t="s">
        <v>917</v>
      </c>
      <c r="E97" t="s">
        <v>513</v>
      </c>
      <c r="F97" t="s">
        <v>911</v>
      </c>
      <c r="I97" t="str">
        <f>ExporExpressoesDimensoesPainel[[#This Row],[ABA]]</f>
        <v>Resultado Financeiro</v>
      </c>
      <c r="J97" t="s">
        <v>1152</v>
      </c>
    </row>
    <row r="98" spans="1:10" x14ac:dyDescent="0.35">
      <c r="A98" t="s">
        <v>915</v>
      </c>
      <c r="B98" t="s">
        <v>887</v>
      </c>
      <c r="C98" t="s">
        <v>1148</v>
      </c>
      <c r="D98" t="s">
        <v>917</v>
      </c>
      <c r="I98" s="2" t="str">
        <f>ExporExpressoesDimensoesPainel[[#This Row],[ABA]]</f>
        <v>Resultado Financeiro</v>
      </c>
      <c r="J98" t="s">
        <v>1153</v>
      </c>
    </row>
    <row r="99" spans="1:10" x14ac:dyDescent="0.35">
      <c r="A99" t="s">
        <v>889</v>
      </c>
      <c r="B99" t="s">
        <v>861</v>
      </c>
      <c r="C99" t="s">
        <v>903</v>
      </c>
      <c r="D99" t="s">
        <v>900</v>
      </c>
      <c r="E99" t="s">
        <v>503</v>
      </c>
      <c r="F99" t="s">
        <v>825</v>
      </c>
      <c r="I99" t="str">
        <f>ExporExpressoesDimensoesPainel[[#This Row],[ABA]]</f>
        <v>Resultado Operacional</v>
      </c>
      <c r="J99" t="s">
        <v>1152</v>
      </c>
    </row>
    <row r="100" spans="1:10" x14ac:dyDescent="0.35">
      <c r="A100" t="s">
        <v>889</v>
      </c>
      <c r="B100" t="s">
        <v>861</v>
      </c>
      <c r="C100" t="s">
        <v>904</v>
      </c>
      <c r="D100" t="s">
        <v>900</v>
      </c>
      <c r="E100" t="s">
        <v>513</v>
      </c>
      <c r="F100" t="s">
        <v>905</v>
      </c>
      <c r="I100" t="str">
        <f>ExporExpressoesDimensoesPainel[[#This Row],[ABA]]</f>
        <v>Resultado Operacional</v>
      </c>
      <c r="J100" t="s">
        <v>1152</v>
      </c>
    </row>
    <row r="101" spans="1:10" x14ac:dyDescent="0.35">
      <c r="A101" t="s">
        <v>889</v>
      </c>
      <c r="B101" t="s">
        <v>861</v>
      </c>
      <c r="C101" t="s">
        <v>1148</v>
      </c>
      <c r="D101" t="s">
        <v>900</v>
      </c>
      <c r="I101" s="2" t="str">
        <f>ExporExpressoesDimensoesPainel[[#This Row],[ABA]]</f>
        <v>Resultado Operacional</v>
      </c>
      <c r="J101" t="s">
        <v>1153</v>
      </c>
    </row>
    <row r="102" spans="1:10" x14ac:dyDescent="0.35">
      <c r="A102" t="s">
        <v>889</v>
      </c>
      <c r="B102" t="s">
        <v>870</v>
      </c>
      <c r="C102" t="s">
        <v>893</v>
      </c>
      <c r="D102" t="s">
        <v>574</v>
      </c>
      <c r="E102" t="s">
        <v>503</v>
      </c>
      <c r="F102" t="s">
        <v>894</v>
      </c>
      <c r="I102" t="str">
        <f>ExporExpressoesDimensoesPainel[[#This Row],[ABA]]</f>
        <v>Resultado Operacional</v>
      </c>
      <c r="J102" t="s">
        <v>1152</v>
      </c>
    </row>
    <row r="103" spans="1:10" x14ac:dyDescent="0.35">
      <c r="A103" t="s">
        <v>889</v>
      </c>
      <c r="B103" t="s">
        <v>870</v>
      </c>
      <c r="C103" t="s">
        <v>895</v>
      </c>
      <c r="D103" t="s">
        <v>574</v>
      </c>
      <c r="E103" t="s">
        <v>503</v>
      </c>
      <c r="F103" t="s">
        <v>896</v>
      </c>
      <c r="I103" t="str">
        <f>ExporExpressoesDimensoesPainel[[#This Row],[ABA]]</f>
        <v>Resultado Operacional</v>
      </c>
      <c r="J103" t="s">
        <v>1152</v>
      </c>
    </row>
    <row r="104" spans="1:10" x14ac:dyDescent="0.35">
      <c r="A104" t="s">
        <v>889</v>
      </c>
      <c r="B104" t="s">
        <v>870</v>
      </c>
      <c r="C104" t="s">
        <v>897</v>
      </c>
      <c r="D104" t="s">
        <v>574</v>
      </c>
      <c r="E104" t="s">
        <v>513</v>
      </c>
      <c r="F104" t="s">
        <v>898</v>
      </c>
      <c r="I104" t="str">
        <f>ExporExpressoesDimensoesPainel[[#This Row],[ABA]]</f>
        <v>Resultado Operacional</v>
      </c>
      <c r="J104" t="s">
        <v>1152</v>
      </c>
    </row>
    <row r="105" spans="1:10" x14ac:dyDescent="0.35">
      <c r="A105" t="s">
        <v>889</v>
      </c>
      <c r="B105" t="s">
        <v>870</v>
      </c>
      <c r="C105" t="s">
        <v>1148</v>
      </c>
      <c r="D105" t="s">
        <v>574</v>
      </c>
      <c r="I105" s="2" t="str">
        <f>ExporExpressoesDimensoesPainel[[#This Row],[ABA]]</f>
        <v>Resultado Operacional</v>
      </c>
      <c r="J105" t="s">
        <v>1153</v>
      </c>
    </row>
    <row r="106" spans="1:10" x14ac:dyDescent="0.35">
      <c r="A106" t="s">
        <v>915</v>
      </c>
      <c r="B106" t="s">
        <v>1145</v>
      </c>
      <c r="C106" t="s">
        <v>1148</v>
      </c>
      <c r="D106" t="s">
        <v>574</v>
      </c>
      <c r="I106" s="2" t="str">
        <f>ExporExpressoesDimensoesPainel[[#This Row],[ABA]]</f>
        <v>Resultado Financeiro</v>
      </c>
      <c r="J106" t="s">
        <v>1153</v>
      </c>
    </row>
    <row r="107" spans="1:10" x14ac:dyDescent="0.35">
      <c r="A107" t="s">
        <v>1017</v>
      </c>
      <c r="B107" t="s">
        <v>1025</v>
      </c>
      <c r="C107" t="s">
        <v>1026</v>
      </c>
      <c r="D107" t="s">
        <v>527</v>
      </c>
      <c r="E107" t="s">
        <v>513</v>
      </c>
      <c r="F107" t="s">
        <v>1027</v>
      </c>
      <c r="I107" t="str">
        <f>ExporExpressoesDimensoesPainel[[#This Row],[ABA]]</f>
        <v>Informações Gerais:</v>
      </c>
      <c r="J107" t="s">
        <v>1152</v>
      </c>
    </row>
    <row r="108" spans="1:10" x14ac:dyDescent="0.35">
      <c r="A108" t="s">
        <v>1150</v>
      </c>
      <c r="B108" t="s">
        <v>1025</v>
      </c>
      <c r="C108" t="s">
        <v>1148</v>
      </c>
      <c r="D108" t="s">
        <v>527</v>
      </c>
      <c r="I108" s="2" t="str">
        <f>ExporExpressoesDimensoesPainel[[#This Row],[ABA]]</f>
        <v>Informações sobre o Painel</v>
      </c>
      <c r="J108" t="s">
        <v>1153</v>
      </c>
    </row>
    <row r="109" spans="1:10" x14ac:dyDescent="0.35">
      <c r="A109" t="s">
        <v>1017</v>
      </c>
      <c r="B109" t="s">
        <v>1028</v>
      </c>
      <c r="C109" t="s">
        <v>530</v>
      </c>
      <c r="D109" t="s">
        <v>517</v>
      </c>
      <c r="E109" t="s">
        <v>503</v>
      </c>
      <c r="F109" t="s">
        <v>506</v>
      </c>
      <c r="I109" t="str">
        <f>ExporExpressoesDimensoesPainel[[#This Row],[ABA]]</f>
        <v>Informações Gerais:</v>
      </c>
      <c r="J109" t="s">
        <v>1152</v>
      </c>
    </row>
    <row r="110" spans="1:10" x14ac:dyDescent="0.35">
      <c r="A110" t="s">
        <v>1017</v>
      </c>
      <c r="B110" t="s">
        <v>1028</v>
      </c>
      <c r="C110" t="s">
        <v>530</v>
      </c>
      <c r="D110" t="s">
        <v>517</v>
      </c>
      <c r="E110" t="s">
        <v>503</v>
      </c>
      <c r="F110" t="s">
        <v>504</v>
      </c>
      <c r="I110" s="16" t="str">
        <f>ExporExpressoesDimensoesPainel[[#This Row],[ABA]]</f>
        <v>Informações Gerais:</v>
      </c>
      <c r="J110" t="s">
        <v>1152</v>
      </c>
    </row>
    <row r="111" spans="1:10" x14ac:dyDescent="0.35">
      <c r="A111" t="s">
        <v>1017</v>
      </c>
      <c r="B111" t="s">
        <v>1028</v>
      </c>
      <c r="C111" t="s">
        <v>530</v>
      </c>
      <c r="D111" t="s">
        <v>517</v>
      </c>
      <c r="E111" t="s">
        <v>503</v>
      </c>
      <c r="F111" t="s">
        <v>505</v>
      </c>
      <c r="I111" s="16" t="str">
        <f>ExporExpressoesDimensoesPainel[[#This Row],[ABA]]</f>
        <v>Informações Gerais:</v>
      </c>
      <c r="J111" t="s">
        <v>1152</v>
      </c>
    </row>
    <row r="112" spans="1:10" x14ac:dyDescent="0.35">
      <c r="A112" t="s">
        <v>1150</v>
      </c>
      <c r="B112" t="s">
        <v>1028</v>
      </c>
      <c r="C112" t="s">
        <v>1148</v>
      </c>
      <c r="D112" t="s">
        <v>517</v>
      </c>
      <c r="I112" s="2" t="str">
        <f>ExporExpressoesDimensoesPainel[[#This Row],[ABA]]</f>
        <v>Informações sobre o Painel</v>
      </c>
      <c r="J112" t="s">
        <v>1153</v>
      </c>
    </row>
    <row r="113" spans="1:10" x14ac:dyDescent="0.35">
      <c r="A113" t="s">
        <v>999</v>
      </c>
      <c r="B113" t="s">
        <v>1015</v>
      </c>
      <c r="C113" t="s">
        <v>1016</v>
      </c>
      <c r="D113" t="s">
        <v>528</v>
      </c>
      <c r="H113" t="s">
        <v>1045</v>
      </c>
      <c r="I113" s="16" t="str">
        <f>ExporExpressoesDimensoesPainel[[#This Row],[ABA]]</f>
        <v>Detalhamento dos Casos</v>
      </c>
      <c r="J113" t="s">
        <v>1152</v>
      </c>
    </row>
    <row r="114" spans="1:10" x14ac:dyDescent="0.35">
      <c r="A114" t="s">
        <v>999</v>
      </c>
      <c r="B114" t="s">
        <v>1015</v>
      </c>
      <c r="C114" t="s">
        <v>1148</v>
      </c>
      <c r="D114" t="s">
        <v>528</v>
      </c>
      <c r="I114" s="2" t="str">
        <f>ExporExpressoesDimensoesPainel[[#This Row],[ABA]]</f>
        <v>Detalhamento dos Casos</v>
      </c>
      <c r="J114" t="s">
        <v>1153</v>
      </c>
    </row>
    <row r="115" spans="1:10" x14ac:dyDescent="0.35">
      <c r="A115" t="s">
        <v>915</v>
      </c>
      <c r="B115" t="s">
        <v>1140</v>
      </c>
      <c r="C115" t="s">
        <v>1148</v>
      </c>
      <c r="D115" t="s">
        <v>584</v>
      </c>
      <c r="I115" s="2" t="str">
        <f>ExporExpressoesDimensoesPainel[[#This Row],[ABA]]</f>
        <v>Resultado Financeiro</v>
      </c>
      <c r="J115" t="s">
        <v>1153</v>
      </c>
    </row>
    <row r="116" spans="1:10" x14ac:dyDescent="0.35">
      <c r="A116" t="s">
        <v>915</v>
      </c>
      <c r="B116" t="s">
        <v>888</v>
      </c>
      <c r="C116" t="s">
        <v>1013</v>
      </c>
      <c r="D116" t="s">
        <v>574</v>
      </c>
      <c r="E116" t="s">
        <v>503</v>
      </c>
      <c r="F116" t="s">
        <v>544</v>
      </c>
      <c r="I116" s="16" t="str">
        <f>ExporExpressoesDimensoesPainel[[#This Row],[ABA]]</f>
        <v>Resultado Financeiro</v>
      </c>
      <c r="J116" t="s">
        <v>1152</v>
      </c>
    </row>
    <row r="117" spans="1:10" x14ac:dyDescent="0.35">
      <c r="A117" t="s">
        <v>915</v>
      </c>
      <c r="B117" t="s">
        <v>888</v>
      </c>
      <c r="C117" t="s">
        <v>1014</v>
      </c>
      <c r="D117" t="s">
        <v>574</v>
      </c>
      <c r="E117" t="s">
        <v>513</v>
      </c>
      <c r="F117" t="s">
        <v>944</v>
      </c>
      <c r="I117" s="16" t="str">
        <f>ExporExpressoesDimensoesPainel[[#This Row],[ABA]]</f>
        <v>Resultado Financeiro</v>
      </c>
      <c r="J117" t="s">
        <v>1152</v>
      </c>
    </row>
    <row r="118" spans="1:10" x14ac:dyDescent="0.35">
      <c r="A118" t="s">
        <v>915</v>
      </c>
      <c r="B118" t="s">
        <v>888</v>
      </c>
      <c r="C118" t="s">
        <v>1148</v>
      </c>
      <c r="D118" t="s">
        <v>574</v>
      </c>
      <c r="I118" s="2" t="str">
        <f>ExporExpressoesDimensoesPainel[[#This Row],[ABA]]</f>
        <v>Resultado Financeiro</v>
      </c>
      <c r="J118" t="s">
        <v>1153</v>
      </c>
    </row>
    <row r="119" spans="1:10" x14ac:dyDescent="0.35">
      <c r="A119" t="s">
        <v>915</v>
      </c>
      <c r="B119" t="s">
        <v>1146</v>
      </c>
      <c r="C119" t="s">
        <v>1148</v>
      </c>
      <c r="D119" t="s">
        <v>584</v>
      </c>
      <c r="I119" s="2" t="str">
        <f>ExporExpressoesDimensoesPainel[[#This Row],[ABA]]</f>
        <v>Resultado Financeiro</v>
      </c>
      <c r="J119" t="s">
        <v>1153</v>
      </c>
    </row>
    <row r="120" spans="1:10" x14ac:dyDescent="0.35">
      <c r="A120" t="s">
        <v>889</v>
      </c>
      <c r="B120" t="s">
        <v>1151</v>
      </c>
      <c r="C120" t="s">
        <v>1148</v>
      </c>
      <c r="D120" t="s">
        <v>574</v>
      </c>
      <c r="I120" s="2" t="str">
        <f>ExporExpressoesDimensoesPainel[[#This Row],[ABA]]</f>
        <v>Resultado Operacional</v>
      </c>
      <c r="J120" t="s">
        <v>1153</v>
      </c>
    </row>
    <row r="121" spans="1:10" x14ac:dyDescent="0.35">
      <c r="A121" t="s">
        <v>1017</v>
      </c>
      <c r="B121" t="s">
        <v>1029</v>
      </c>
      <c r="C121" t="s">
        <v>526</v>
      </c>
      <c r="D121" t="s">
        <v>528</v>
      </c>
      <c r="H121" t="s">
        <v>1045</v>
      </c>
      <c r="I121" s="16" t="str">
        <f>ExporExpressoesDimensoesPainel[[#This Row],[ABA]]</f>
        <v>Informações Gerais:</v>
      </c>
      <c r="J121" t="s">
        <v>1152</v>
      </c>
    </row>
    <row r="122" spans="1:10" x14ac:dyDescent="0.35">
      <c r="A122" t="s">
        <v>1150</v>
      </c>
      <c r="B122" t="s">
        <v>1029</v>
      </c>
      <c r="C122" t="s">
        <v>1148</v>
      </c>
      <c r="D122" t="s">
        <v>528</v>
      </c>
      <c r="I122" s="2" t="str">
        <f>ExporExpressoesDimensoesPainel[[#This Row],[ABA]]</f>
        <v>Informações sobre o Painel</v>
      </c>
      <c r="J122" t="s">
        <v>1153</v>
      </c>
    </row>
    <row r="123" spans="1:10" x14ac:dyDescent="0.35">
      <c r="A123" t="s">
        <v>889</v>
      </c>
      <c r="B123" t="s">
        <v>864</v>
      </c>
      <c r="C123" t="s">
        <v>526</v>
      </c>
      <c r="D123" t="s">
        <v>517</v>
      </c>
      <c r="E123" t="s">
        <v>503</v>
      </c>
      <c r="F123" t="s">
        <v>951</v>
      </c>
      <c r="I123" s="16" t="str">
        <f>ExporExpressoesDimensoesPainel[[#This Row],[ABA]]</f>
        <v>Resultado Operacional</v>
      </c>
      <c r="J123" t="s">
        <v>1152</v>
      </c>
    </row>
    <row r="124" spans="1:10" x14ac:dyDescent="0.35">
      <c r="A124" t="s">
        <v>889</v>
      </c>
      <c r="B124" t="s">
        <v>864</v>
      </c>
      <c r="C124" t="s">
        <v>952</v>
      </c>
      <c r="D124" t="s">
        <v>517</v>
      </c>
      <c r="E124" t="s">
        <v>503</v>
      </c>
      <c r="F124" t="s">
        <v>775</v>
      </c>
      <c r="I124" s="16" t="str">
        <f>ExporExpressoesDimensoesPainel[[#This Row],[ABA]]</f>
        <v>Resultado Operacional</v>
      </c>
      <c r="J124" t="s">
        <v>1152</v>
      </c>
    </row>
    <row r="125" spans="1:10" x14ac:dyDescent="0.35">
      <c r="A125" t="s">
        <v>889</v>
      </c>
      <c r="B125" t="s">
        <v>864</v>
      </c>
      <c r="C125" t="s">
        <v>530</v>
      </c>
      <c r="D125" t="s">
        <v>517</v>
      </c>
      <c r="E125" t="s">
        <v>513</v>
      </c>
      <c r="F125">
        <v>1</v>
      </c>
      <c r="I125" s="16" t="str">
        <f>ExporExpressoesDimensoesPainel[[#This Row],[ABA]]</f>
        <v>Resultado Operacional</v>
      </c>
      <c r="J125" t="s">
        <v>1152</v>
      </c>
    </row>
    <row r="126" spans="1:10" x14ac:dyDescent="0.35">
      <c r="A126" t="s">
        <v>889</v>
      </c>
      <c r="B126" t="s">
        <v>864</v>
      </c>
      <c r="C126" t="s">
        <v>1148</v>
      </c>
      <c r="D126" t="s">
        <v>517</v>
      </c>
      <c r="I126" s="2" t="str">
        <f>ExporExpressoesDimensoesPainel[[#This Row],[ABA]]</f>
        <v>Resultado Operacional</v>
      </c>
      <c r="J126" t="s">
        <v>1153</v>
      </c>
    </row>
    <row r="127" spans="1:10" x14ac:dyDescent="0.35">
      <c r="A127" t="s">
        <v>915</v>
      </c>
      <c r="B127" t="s">
        <v>1020</v>
      </c>
      <c r="C127" t="s">
        <v>526</v>
      </c>
      <c r="D127" t="s">
        <v>528</v>
      </c>
      <c r="H127" t="s">
        <v>1045</v>
      </c>
      <c r="I127" s="16" t="str">
        <f>ExporExpressoesDimensoesPainel[[#This Row],[ABA]]</f>
        <v>Resultado Financeiro</v>
      </c>
      <c r="J127" t="s">
        <v>1152</v>
      </c>
    </row>
    <row r="128" spans="1:10" x14ac:dyDescent="0.35">
      <c r="A128" t="s">
        <v>915</v>
      </c>
      <c r="B128" t="s">
        <v>1020</v>
      </c>
      <c r="C128" t="s">
        <v>1148</v>
      </c>
      <c r="D128" t="s">
        <v>528</v>
      </c>
      <c r="I128" s="2" t="str">
        <f>ExporExpressoesDimensoesPainel[[#This Row],[ABA]]</f>
        <v>Resultado Financeiro</v>
      </c>
      <c r="J128" t="s">
        <v>1153</v>
      </c>
    </row>
    <row r="129" spans="1:10" x14ac:dyDescent="0.35">
      <c r="A129" t="s">
        <v>915</v>
      </c>
      <c r="B129" t="s">
        <v>1149</v>
      </c>
      <c r="C129" t="s">
        <v>1148</v>
      </c>
      <c r="D129" t="s">
        <v>546</v>
      </c>
      <c r="I129" s="2" t="str">
        <f>ExporExpressoesDimensoesPainel[[#This Row],[ABA]]</f>
        <v>Resultado Financeiro</v>
      </c>
      <c r="J129" t="s">
        <v>1153</v>
      </c>
    </row>
    <row r="130" spans="1:10" x14ac:dyDescent="0.35">
      <c r="A130" t="s">
        <v>999</v>
      </c>
      <c r="B130" t="s">
        <v>875</v>
      </c>
      <c r="C130" t="s">
        <v>1000</v>
      </c>
      <c r="D130" t="s">
        <v>517</v>
      </c>
      <c r="E130" t="s">
        <v>503</v>
      </c>
      <c r="F130" t="s">
        <v>555</v>
      </c>
      <c r="I130" s="16" t="str">
        <f>ExporExpressoesDimensoesPainel[[#This Row],[ABA]]</f>
        <v>Detalhamento dos Casos</v>
      </c>
      <c r="J130" t="s">
        <v>1152</v>
      </c>
    </row>
    <row r="131" spans="1:10" x14ac:dyDescent="0.35">
      <c r="A131" t="s">
        <v>999</v>
      </c>
      <c r="B131" t="s">
        <v>875</v>
      </c>
      <c r="C131" t="s">
        <v>1001</v>
      </c>
      <c r="D131" t="s">
        <v>517</v>
      </c>
      <c r="E131" t="s">
        <v>503</v>
      </c>
      <c r="F131" t="s">
        <v>556</v>
      </c>
      <c r="I131" s="16" t="str">
        <f>ExporExpressoesDimensoesPainel[[#This Row],[ABA]]</f>
        <v>Detalhamento dos Casos</v>
      </c>
      <c r="J131" t="s">
        <v>1152</v>
      </c>
    </row>
    <row r="132" spans="1:10" x14ac:dyDescent="0.35">
      <c r="A132" t="s">
        <v>999</v>
      </c>
      <c r="B132" t="s">
        <v>875</v>
      </c>
      <c r="C132" t="s">
        <v>1002</v>
      </c>
      <c r="D132" t="s">
        <v>517</v>
      </c>
      <c r="E132" t="s">
        <v>503</v>
      </c>
      <c r="F132" t="s">
        <v>557</v>
      </c>
      <c r="I132" s="16" t="str">
        <f>ExporExpressoesDimensoesPainel[[#This Row],[ABA]]</f>
        <v>Detalhamento dos Casos</v>
      </c>
      <c r="J132" t="s">
        <v>1152</v>
      </c>
    </row>
    <row r="133" spans="1:10" x14ac:dyDescent="0.35">
      <c r="A133" t="s">
        <v>999</v>
      </c>
      <c r="B133" t="s">
        <v>875</v>
      </c>
      <c r="C133" t="s">
        <v>1003</v>
      </c>
      <c r="D133" t="s">
        <v>517</v>
      </c>
      <c r="E133" t="s">
        <v>503</v>
      </c>
      <c r="F133" t="s">
        <v>558</v>
      </c>
      <c r="I133" s="16" t="str">
        <f>ExporExpressoesDimensoesPainel[[#This Row],[ABA]]</f>
        <v>Detalhamento dos Casos</v>
      </c>
      <c r="J133" t="s">
        <v>1152</v>
      </c>
    </row>
    <row r="134" spans="1:10" x14ac:dyDescent="0.35">
      <c r="A134" t="s">
        <v>999</v>
      </c>
      <c r="B134" t="s">
        <v>875</v>
      </c>
      <c r="C134" t="s">
        <v>1004</v>
      </c>
      <c r="D134" t="s">
        <v>517</v>
      </c>
      <c r="E134" t="s">
        <v>503</v>
      </c>
      <c r="F134" t="s">
        <v>559</v>
      </c>
      <c r="I134" s="16" t="str">
        <f>ExporExpressoesDimensoesPainel[[#This Row],[ABA]]</f>
        <v>Detalhamento dos Casos</v>
      </c>
      <c r="J134" t="s">
        <v>1152</v>
      </c>
    </row>
    <row r="135" spans="1:10" x14ac:dyDescent="0.35">
      <c r="A135" t="s">
        <v>999</v>
      </c>
      <c r="B135" t="s">
        <v>875</v>
      </c>
      <c r="C135" t="s">
        <v>1005</v>
      </c>
      <c r="D135" t="s">
        <v>517</v>
      </c>
      <c r="E135" t="s">
        <v>503</v>
      </c>
      <c r="F135" t="s">
        <v>561</v>
      </c>
      <c r="I135" s="16" t="str">
        <f>ExporExpressoesDimensoesPainel[[#This Row],[ABA]]</f>
        <v>Detalhamento dos Casos</v>
      </c>
      <c r="J135" t="s">
        <v>1152</v>
      </c>
    </row>
    <row r="136" spans="1:10" x14ac:dyDescent="0.35">
      <c r="A136" t="s">
        <v>999</v>
      </c>
      <c r="B136" t="s">
        <v>875</v>
      </c>
      <c r="C136" t="s">
        <v>1006</v>
      </c>
      <c r="D136" t="s">
        <v>517</v>
      </c>
      <c r="E136" t="s">
        <v>503</v>
      </c>
      <c r="F136" t="s">
        <v>560</v>
      </c>
      <c r="I136" s="16" t="str">
        <f>ExporExpressoesDimensoesPainel[[#This Row],[ABA]]</f>
        <v>Detalhamento dos Casos</v>
      </c>
      <c r="J136" t="s">
        <v>1152</v>
      </c>
    </row>
    <row r="137" spans="1:10" x14ac:dyDescent="0.35">
      <c r="A137" t="s">
        <v>999</v>
      </c>
      <c r="B137" t="s">
        <v>875</v>
      </c>
      <c r="C137" t="s">
        <v>1007</v>
      </c>
      <c r="D137" t="s">
        <v>517</v>
      </c>
      <c r="E137" t="s">
        <v>503</v>
      </c>
      <c r="F137" t="s">
        <v>562</v>
      </c>
      <c r="I137" s="16" t="str">
        <f>ExporExpressoesDimensoesPainel[[#This Row],[ABA]]</f>
        <v>Detalhamento dos Casos</v>
      </c>
      <c r="J137" t="s">
        <v>1152</v>
      </c>
    </row>
    <row r="138" spans="1:10" x14ac:dyDescent="0.35">
      <c r="A138" t="s">
        <v>999</v>
      </c>
      <c r="B138" t="s">
        <v>875</v>
      </c>
      <c r="C138" t="s">
        <v>1008</v>
      </c>
      <c r="D138" t="s">
        <v>517</v>
      </c>
      <c r="E138" t="s">
        <v>503</v>
      </c>
      <c r="F138" t="s">
        <v>563</v>
      </c>
      <c r="I138" s="16" t="str">
        <f>ExporExpressoesDimensoesPainel[[#This Row],[ABA]]</f>
        <v>Detalhamento dos Casos</v>
      </c>
      <c r="J138" t="s">
        <v>1152</v>
      </c>
    </row>
    <row r="139" spans="1:10" x14ac:dyDescent="0.35">
      <c r="A139" t="s">
        <v>999</v>
      </c>
      <c r="B139" t="s">
        <v>875</v>
      </c>
      <c r="C139" t="s">
        <v>1009</v>
      </c>
      <c r="D139" t="s">
        <v>517</v>
      </c>
      <c r="E139" t="s">
        <v>503</v>
      </c>
      <c r="F139" t="s">
        <v>1010</v>
      </c>
      <c r="I139" s="16" t="str">
        <f>ExporExpressoesDimensoesPainel[[#This Row],[ABA]]</f>
        <v>Detalhamento dos Casos</v>
      </c>
      <c r="J139" t="s">
        <v>1152</v>
      </c>
    </row>
    <row r="140" spans="1:10" x14ac:dyDescent="0.35">
      <c r="A140" t="s">
        <v>999</v>
      </c>
      <c r="B140" t="s">
        <v>875</v>
      </c>
      <c r="C140" t="s">
        <v>526</v>
      </c>
      <c r="D140" t="s">
        <v>517</v>
      </c>
      <c r="E140" t="s">
        <v>513</v>
      </c>
      <c r="F140" t="s">
        <v>937</v>
      </c>
      <c r="I140" s="16" t="str">
        <f>ExporExpressoesDimensoesPainel[[#This Row],[ABA]]</f>
        <v>Detalhamento dos Casos</v>
      </c>
      <c r="J140" t="s">
        <v>1152</v>
      </c>
    </row>
    <row r="141" spans="1:10" x14ac:dyDescent="0.35">
      <c r="A141" t="s">
        <v>999</v>
      </c>
      <c r="B141" t="s">
        <v>875</v>
      </c>
      <c r="C141" t="s">
        <v>526</v>
      </c>
      <c r="D141" t="s">
        <v>517</v>
      </c>
      <c r="E141" t="s">
        <v>513</v>
      </c>
      <c r="F141" t="s">
        <v>898</v>
      </c>
      <c r="I141" s="16" t="str">
        <f>ExporExpressoesDimensoesPainel[[#This Row],[ABA]]</f>
        <v>Detalhamento dos Casos</v>
      </c>
      <c r="J141" t="s">
        <v>1152</v>
      </c>
    </row>
    <row r="142" spans="1:10" x14ac:dyDescent="0.35">
      <c r="A142" t="s">
        <v>999</v>
      </c>
      <c r="B142" t="s">
        <v>875</v>
      </c>
      <c r="C142" t="s">
        <v>526</v>
      </c>
      <c r="D142" t="s">
        <v>517</v>
      </c>
      <c r="E142" t="s">
        <v>513</v>
      </c>
      <c r="F142" t="s">
        <v>1011</v>
      </c>
      <c r="I142" s="16" t="str">
        <f>ExporExpressoesDimensoesPainel[[#This Row],[ABA]]</f>
        <v>Detalhamento dos Casos</v>
      </c>
      <c r="J142" t="s">
        <v>1152</v>
      </c>
    </row>
    <row r="143" spans="1:10" x14ac:dyDescent="0.35">
      <c r="A143" t="s">
        <v>999</v>
      </c>
      <c r="B143" t="s">
        <v>875</v>
      </c>
      <c r="C143" t="s">
        <v>1148</v>
      </c>
      <c r="D143" t="s">
        <v>517</v>
      </c>
      <c r="I143" s="2" t="str">
        <f>ExporExpressoesDimensoesPainel[[#This Row],[ABA]]</f>
        <v>Detalhamento dos Casos</v>
      </c>
      <c r="J143" t="s">
        <v>1153</v>
      </c>
    </row>
    <row r="144" spans="1:10" x14ac:dyDescent="0.35">
      <c r="A144" t="s">
        <v>915</v>
      </c>
      <c r="B144" t="s">
        <v>1139</v>
      </c>
      <c r="C144" t="s">
        <v>1148</v>
      </c>
      <c r="D144" t="s">
        <v>528</v>
      </c>
      <c r="I144" s="2" t="str">
        <f>ExporExpressoesDimensoesPainel[[#This Row],[ABA]]</f>
        <v>Resultado Financeiro</v>
      </c>
      <c r="J144" t="s">
        <v>1153</v>
      </c>
    </row>
    <row r="145" spans="1:10" x14ac:dyDescent="0.35">
      <c r="A145" t="s">
        <v>889</v>
      </c>
      <c r="B145" t="s">
        <v>872</v>
      </c>
      <c r="C145" t="s">
        <v>935</v>
      </c>
      <c r="D145" t="s">
        <v>574</v>
      </c>
      <c r="E145" t="s">
        <v>503</v>
      </c>
      <c r="F145" t="s">
        <v>544</v>
      </c>
      <c r="I145" s="16" t="str">
        <f>ExporExpressoesDimensoesPainel[[#This Row],[ABA]]</f>
        <v>Resultado Operacional</v>
      </c>
      <c r="J145" t="s">
        <v>1152</v>
      </c>
    </row>
    <row r="146" spans="1:10" x14ac:dyDescent="0.35">
      <c r="A146" t="s">
        <v>889</v>
      </c>
      <c r="B146" t="s">
        <v>872</v>
      </c>
      <c r="C146" t="s">
        <v>936</v>
      </c>
      <c r="D146" t="s">
        <v>574</v>
      </c>
      <c r="E146" t="s">
        <v>513</v>
      </c>
      <c r="F146" t="s">
        <v>937</v>
      </c>
      <c r="I146" s="16" t="str">
        <f>ExporExpressoesDimensoesPainel[[#This Row],[ABA]]</f>
        <v>Resultado Operacional</v>
      </c>
      <c r="J146" t="s">
        <v>1152</v>
      </c>
    </row>
    <row r="147" spans="1:10" x14ac:dyDescent="0.35">
      <c r="A147" t="s">
        <v>889</v>
      </c>
      <c r="B147" t="s">
        <v>872</v>
      </c>
      <c r="C147" t="s">
        <v>936</v>
      </c>
      <c r="D147" t="s">
        <v>574</v>
      </c>
      <c r="E147" t="s">
        <v>513</v>
      </c>
      <c r="F147" t="s">
        <v>898</v>
      </c>
      <c r="I147" s="16" t="str">
        <f>ExporExpressoesDimensoesPainel[[#This Row],[ABA]]</f>
        <v>Resultado Operacional</v>
      </c>
      <c r="J147" t="s">
        <v>1152</v>
      </c>
    </row>
    <row r="148" spans="1:10" x14ac:dyDescent="0.35">
      <c r="A148" t="s">
        <v>889</v>
      </c>
      <c r="B148" t="s">
        <v>872</v>
      </c>
      <c r="C148" t="s">
        <v>1148</v>
      </c>
      <c r="D148" t="s">
        <v>574</v>
      </c>
      <c r="I148" s="2" t="str">
        <f>ExporExpressoesDimensoesPainel[[#This Row],[ABA]]</f>
        <v>Resultado Operacional</v>
      </c>
      <c r="J148" t="s">
        <v>1153</v>
      </c>
    </row>
    <row r="149" spans="1:10" x14ac:dyDescent="0.35">
      <c r="A149" t="s">
        <v>1017</v>
      </c>
      <c r="B149" t="s">
        <v>1021</v>
      </c>
      <c r="C149" t="s">
        <v>526</v>
      </c>
      <c r="D149" t="s">
        <v>512</v>
      </c>
      <c r="H149" t="s">
        <v>1045</v>
      </c>
      <c r="I149" s="16" t="str">
        <f>ExporExpressoesDimensoesPainel[[#This Row],[ABA]]</f>
        <v>Informações Gerais:</v>
      </c>
      <c r="J149" t="s">
        <v>1152</v>
      </c>
    </row>
    <row r="150" spans="1:10" x14ac:dyDescent="0.35">
      <c r="A150" t="s">
        <v>1150</v>
      </c>
      <c r="B150" t="s">
        <v>1021</v>
      </c>
      <c r="C150" t="s">
        <v>1148</v>
      </c>
      <c r="D150" t="s">
        <v>512</v>
      </c>
      <c r="I150" s="2" t="str">
        <f>ExporExpressoesDimensoesPainel[[#This Row],[ABA]]</f>
        <v>Informações sobre o Painel</v>
      </c>
      <c r="J150" t="s">
        <v>1153</v>
      </c>
    </row>
    <row r="151" spans="1:10" x14ac:dyDescent="0.35">
      <c r="A151" t="s">
        <v>915</v>
      </c>
      <c r="B151" t="s">
        <v>998</v>
      </c>
      <c r="C151" t="s">
        <v>526</v>
      </c>
      <c r="D151" t="s">
        <v>528</v>
      </c>
      <c r="H151" t="s">
        <v>1045</v>
      </c>
      <c r="I151" s="16" t="str">
        <f>ExporExpressoesDimensoesPainel[[#This Row],[ABA]]</f>
        <v>Resultado Financeiro</v>
      </c>
      <c r="J151" t="s">
        <v>1152</v>
      </c>
    </row>
    <row r="152" spans="1:10" x14ac:dyDescent="0.35">
      <c r="A152" t="s">
        <v>915</v>
      </c>
      <c r="B152" t="s">
        <v>998</v>
      </c>
      <c r="C152" t="s">
        <v>1148</v>
      </c>
      <c r="D152" t="s">
        <v>528</v>
      </c>
      <c r="I152" s="2" t="str">
        <f>ExporExpressoesDimensoesPainel[[#This Row],[ABA]]</f>
        <v>Resultado Financeiro</v>
      </c>
      <c r="J152" t="s">
        <v>1153</v>
      </c>
    </row>
    <row r="153" spans="1:10" x14ac:dyDescent="0.35">
      <c r="A153" t="s">
        <v>915</v>
      </c>
      <c r="B153" t="s">
        <v>1137</v>
      </c>
      <c r="C153" t="s">
        <v>1148</v>
      </c>
      <c r="D153" t="s">
        <v>528</v>
      </c>
      <c r="I153" s="2" t="str">
        <f>ExporExpressoesDimensoesPainel[[#This Row],[ABA]]</f>
        <v>Resultado Financeiro</v>
      </c>
      <c r="J153" t="s">
        <v>1153</v>
      </c>
    </row>
    <row r="154" spans="1:10" x14ac:dyDescent="0.35">
      <c r="A154" t="s">
        <v>1017</v>
      </c>
      <c r="B154" t="s">
        <v>1018</v>
      </c>
      <c r="C154" t="s">
        <v>530</v>
      </c>
      <c r="D154" t="s">
        <v>554</v>
      </c>
      <c r="E154" t="s">
        <v>513</v>
      </c>
      <c r="F154" t="s">
        <v>1019</v>
      </c>
      <c r="I154" s="16" t="str">
        <f>ExporExpressoesDimensoesPainel[[#This Row],[ABA]]</f>
        <v>Informações Gerais:</v>
      </c>
      <c r="J154" t="s">
        <v>1152</v>
      </c>
    </row>
    <row r="155" spans="1:10" x14ac:dyDescent="0.35">
      <c r="A155" t="s">
        <v>1150</v>
      </c>
      <c r="B155" t="s">
        <v>1018</v>
      </c>
      <c r="C155" t="s">
        <v>530</v>
      </c>
      <c r="D155" t="s">
        <v>554</v>
      </c>
      <c r="E155" t="s">
        <v>513</v>
      </c>
      <c r="F155" t="s">
        <v>1019</v>
      </c>
      <c r="I155" s="2" t="str">
        <f>ExporExpressoesDimensoesPainel[[#This Row],[ABA]]</f>
        <v>Informações sobre o Painel</v>
      </c>
      <c r="J155" t="s">
        <v>1153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opLeftCell="B1" workbookViewId="0">
      <selection activeCell="D5" sqref="D5"/>
    </sheetView>
  </sheetViews>
  <sheetFormatPr defaultRowHeight="14.5" x14ac:dyDescent="0.35"/>
  <cols>
    <col min="1" max="1" width="61.26953125" bestFit="1" customWidth="1"/>
    <col min="2" max="2" width="47.54296875" customWidth="1"/>
    <col min="3" max="3" width="65.1796875" bestFit="1" customWidth="1"/>
    <col min="4" max="4" width="28.453125" customWidth="1"/>
    <col min="5" max="5" width="23" customWidth="1"/>
    <col min="6" max="6" width="22.1796875" customWidth="1"/>
    <col min="7" max="7" width="20" customWidth="1"/>
  </cols>
  <sheetData>
    <row r="1" spans="1:7" x14ac:dyDescent="0.35">
      <c r="A1" s="20" t="s">
        <v>587</v>
      </c>
      <c r="B1" s="20" t="s">
        <v>588</v>
      </c>
      <c r="C1" s="20" t="s">
        <v>589</v>
      </c>
      <c r="D1" s="20" t="s">
        <v>590</v>
      </c>
      <c r="E1" s="20" t="s">
        <v>591</v>
      </c>
      <c r="F1" s="20" t="s">
        <v>592</v>
      </c>
      <c r="G1" s="20" t="s">
        <v>593</v>
      </c>
    </row>
    <row r="2" spans="1:7" x14ac:dyDescent="0.35">
      <c r="A2" s="34" t="s">
        <v>558</v>
      </c>
      <c r="B2" s="34" t="s">
        <v>1039</v>
      </c>
      <c r="C2" s="34" t="s">
        <v>1039</v>
      </c>
    </row>
    <row r="3" spans="1:7" x14ac:dyDescent="0.35">
      <c r="A3" s="39" t="s">
        <v>544</v>
      </c>
      <c r="B3" s="39" t="s">
        <v>1030</v>
      </c>
      <c r="C3" s="39" t="s">
        <v>1030</v>
      </c>
    </row>
    <row r="4" spans="1:7" x14ac:dyDescent="0.35">
      <c r="A4" s="39" t="s">
        <v>894</v>
      </c>
      <c r="B4" s="34" t="s">
        <v>1037</v>
      </c>
      <c r="C4" s="39" t="s">
        <v>1030</v>
      </c>
    </row>
    <row r="5" spans="1:7" x14ac:dyDescent="0.35">
      <c r="A5" s="39" t="s">
        <v>894</v>
      </c>
      <c r="B5" s="39" t="s">
        <v>1030</v>
      </c>
      <c r="C5" s="39" t="s">
        <v>1030</v>
      </c>
    </row>
    <row r="6" spans="1:7" x14ac:dyDescent="0.35">
      <c r="A6" s="34" t="s">
        <v>896</v>
      </c>
      <c r="B6" s="34" t="s">
        <v>1031</v>
      </c>
      <c r="C6" s="34" t="s">
        <v>1031</v>
      </c>
    </row>
    <row r="7" spans="1:7" x14ac:dyDescent="0.35">
      <c r="A7" s="39" t="s">
        <v>896</v>
      </c>
      <c r="B7" s="39" t="s">
        <v>1038</v>
      </c>
      <c r="C7" s="39" t="s">
        <v>1038</v>
      </c>
    </row>
    <row r="8" spans="1:7" x14ac:dyDescent="0.35">
      <c r="A8" s="39"/>
      <c r="B8" s="39" t="s">
        <v>1034</v>
      </c>
      <c r="C8" s="39" t="s">
        <v>1034</v>
      </c>
    </row>
    <row r="9" spans="1:7" x14ac:dyDescent="0.35">
      <c r="A9" s="34"/>
      <c r="B9" s="34" t="s">
        <v>1035</v>
      </c>
      <c r="C9" s="34" t="s">
        <v>1035</v>
      </c>
    </row>
    <row r="10" spans="1:7" x14ac:dyDescent="0.35">
      <c r="A10" s="34" t="s">
        <v>503</v>
      </c>
      <c r="B10" s="34" t="s">
        <v>1036</v>
      </c>
      <c r="C10" s="34" t="s">
        <v>1036</v>
      </c>
    </row>
    <row r="11" spans="1:7" x14ac:dyDescent="0.35">
      <c r="A11" s="39" t="s">
        <v>825</v>
      </c>
      <c r="B11" s="39" t="s">
        <v>1032</v>
      </c>
      <c r="C11" s="39" t="s">
        <v>1032</v>
      </c>
    </row>
    <row r="12" spans="1:7" x14ac:dyDescent="0.35">
      <c r="A12" s="34" t="s">
        <v>825</v>
      </c>
      <c r="B12" s="34" t="s">
        <v>1033</v>
      </c>
      <c r="C12" s="34" t="s">
        <v>1033</v>
      </c>
    </row>
    <row r="13" spans="1:7" x14ac:dyDescent="0.35">
      <c r="A13" s="39" t="s">
        <v>555</v>
      </c>
      <c r="B13" s="39" t="s">
        <v>608</v>
      </c>
      <c r="C13" s="39" t="s">
        <v>608</v>
      </c>
    </row>
    <row r="14" spans="1:7" x14ac:dyDescent="0.35">
      <c r="A14" s="34" t="s">
        <v>1010</v>
      </c>
      <c r="B14" s="34" t="s">
        <v>1040</v>
      </c>
      <c r="C14" s="34" t="s">
        <v>1040</v>
      </c>
    </row>
    <row r="15" spans="1:7" x14ac:dyDescent="0.35">
      <c r="A15" s="34" t="s">
        <v>556</v>
      </c>
      <c r="B15" s="34" t="s">
        <v>609</v>
      </c>
      <c r="C15" s="34" t="s">
        <v>609</v>
      </c>
    </row>
    <row r="16" spans="1:7" x14ac:dyDescent="0.35">
      <c r="A16" s="39" t="s">
        <v>557</v>
      </c>
      <c r="B16" s="39" t="s">
        <v>610</v>
      </c>
      <c r="C16" s="39" t="s">
        <v>610</v>
      </c>
    </row>
    <row r="17" spans="1:7" x14ac:dyDescent="0.35">
      <c r="A17" s="39" t="s">
        <v>559</v>
      </c>
      <c r="B17" s="39" t="s">
        <v>611</v>
      </c>
      <c r="C17" s="39" t="s">
        <v>611</v>
      </c>
    </row>
    <row r="18" spans="1:7" x14ac:dyDescent="0.35">
      <c r="A18" s="34" t="s">
        <v>561</v>
      </c>
      <c r="B18" s="34" t="s">
        <v>612</v>
      </c>
      <c r="C18" s="34" t="s">
        <v>612</v>
      </c>
    </row>
    <row r="19" spans="1:7" x14ac:dyDescent="0.35">
      <c r="A19" s="39" t="s">
        <v>560</v>
      </c>
      <c r="B19" s="39" t="s">
        <v>613</v>
      </c>
      <c r="C19" s="39" t="s">
        <v>613</v>
      </c>
    </row>
    <row r="20" spans="1:7" x14ac:dyDescent="0.35">
      <c r="A20" s="34" t="s">
        <v>562</v>
      </c>
      <c r="B20" s="34" t="s">
        <v>614</v>
      </c>
      <c r="C20" s="34" t="s">
        <v>614</v>
      </c>
    </row>
    <row r="21" spans="1:7" x14ac:dyDescent="0.35">
      <c r="A21" s="39" t="s">
        <v>563</v>
      </c>
      <c r="B21" s="39" t="s">
        <v>615</v>
      </c>
      <c r="C21" s="39" t="s">
        <v>615</v>
      </c>
    </row>
    <row r="22" spans="1:7" x14ac:dyDescent="0.35">
      <c r="A22" s="39" t="s">
        <v>482</v>
      </c>
      <c r="B22" s="39" t="s">
        <v>1041</v>
      </c>
      <c r="C22" s="39" t="s">
        <v>1041</v>
      </c>
    </row>
    <row r="23" spans="1:7" x14ac:dyDescent="0.35">
      <c r="A23" s="34" t="s">
        <v>826</v>
      </c>
      <c r="B23" s="34" t="s">
        <v>826</v>
      </c>
      <c r="C23" s="34" t="s">
        <v>826</v>
      </c>
    </row>
    <row r="24" spans="1:7" x14ac:dyDescent="0.35">
      <c r="A24" s="39" t="s">
        <v>775</v>
      </c>
      <c r="B24" s="39" t="s">
        <v>838</v>
      </c>
      <c r="C24" s="39" t="s">
        <v>838</v>
      </c>
    </row>
    <row r="25" spans="1:7" x14ac:dyDescent="0.35">
      <c r="A25" s="36" t="s">
        <v>505</v>
      </c>
      <c r="B25" s="36"/>
      <c r="C25" s="36"/>
      <c r="D25" s="1"/>
      <c r="E25" s="1"/>
      <c r="F25" s="1"/>
      <c r="G25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activeCell="G16" sqref="G16"/>
    </sheetView>
  </sheetViews>
  <sheetFormatPr defaultRowHeight="14.5" x14ac:dyDescent="0.35"/>
  <cols>
    <col min="1" max="1" width="38" bestFit="1" customWidth="1"/>
    <col min="2" max="2" width="23.54296875" customWidth="1"/>
    <col min="3" max="3" width="32.54296875" customWidth="1"/>
    <col min="4" max="4" width="28.453125" customWidth="1"/>
    <col min="5" max="5" width="23" customWidth="1"/>
    <col min="6" max="6" width="22.1796875" customWidth="1"/>
    <col min="7" max="7" width="38" bestFit="1" customWidth="1"/>
  </cols>
  <sheetData>
    <row r="1" spans="1:8" x14ac:dyDescent="0.35">
      <c r="A1" t="s">
        <v>587</v>
      </c>
      <c r="B1" t="s">
        <v>588</v>
      </c>
      <c r="C1" t="s">
        <v>661</v>
      </c>
      <c r="D1" t="s">
        <v>590</v>
      </c>
      <c r="E1" t="s">
        <v>591</v>
      </c>
      <c r="F1" t="s">
        <v>592</v>
      </c>
      <c r="G1" t="s">
        <v>593</v>
      </c>
      <c r="H1" t="s">
        <v>733</v>
      </c>
    </row>
    <row r="2" spans="1:8" x14ac:dyDescent="0.35">
      <c r="A2" t="s">
        <v>52</v>
      </c>
      <c r="B2" t="s">
        <v>52</v>
      </c>
      <c r="G2" t="s">
        <v>551</v>
      </c>
      <c r="H2" t="e">
        <f>VLOOKUP(DimensaoExistente[[#This Row],[%MI%DimensionField]],ImportDimensoes[#All],1,FALSE)</f>
        <v>#N/A</v>
      </c>
    </row>
    <row r="3" spans="1:8" x14ac:dyDescent="0.35">
      <c r="A3" t="s">
        <v>736</v>
      </c>
      <c r="B3" t="s">
        <v>662</v>
      </c>
      <c r="C3" t="s">
        <v>663</v>
      </c>
      <c r="F3" t="s">
        <v>664</v>
      </c>
      <c r="G3" t="s">
        <v>665</v>
      </c>
      <c r="H3" t="e">
        <f>VLOOKUP(DimensaoExistente[[#This Row],[%MI%DimensionField]],ImportDimensoes[#All],1,FALSE)</f>
        <v>#N/A</v>
      </c>
    </row>
    <row r="4" spans="1:8" x14ac:dyDescent="0.35">
      <c r="A4" t="s">
        <v>735</v>
      </c>
      <c r="B4" t="s">
        <v>666</v>
      </c>
      <c r="C4" t="s">
        <v>667</v>
      </c>
      <c r="F4" t="s">
        <v>664</v>
      </c>
      <c r="G4" t="s">
        <v>668</v>
      </c>
      <c r="H4" t="e">
        <f>VLOOKUP(DimensaoExistente[[#This Row],[%MI%DimensionField]],ImportDimensoes[#All],1,FALSE)</f>
        <v>#N/A</v>
      </c>
    </row>
    <row r="5" spans="1:8" x14ac:dyDescent="0.35">
      <c r="A5" t="s">
        <v>669</v>
      </c>
      <c r="B5" t="s">
        <v>669</v>
      </c>
      <c r="G5" t="s">
        <v>670</v>
      </c>
      <c r="H5" t="e">
        <f>VLOOKUP(DimensaoExistente[[#This Row],[%MI%DimensionField]],ImportDimensoes[#All],1,FALSE)</f>
        <v>#N/A</v>
      </c>
    </row>
    <row r="6" spans="1:8" x14ac:dyDescent="0.35">
      <c r="A6" t="s">
        <v>734</v>
      </c>
      <c r="B6" t="s">
        <v>671</v>
      </c>
      <c r="C6" t="s">
        <v>672</v>
      </c>
      <c r="F6" t="s">
        <v>664</v>
      </c>
      <c r="G6" t="s">
        <v>673</v>
      </c>
      <c r="H6" t="e">
        <f>VLOOKUP(DimensaoExistente[[#This Row],[%MI%DimensionField]],ImportDimensoes[#All],1,FALSE)</f>
        <v>#N/A</v>
      </c>
    </row>
    <row r="7" spans="1:8" x14ac:dyDescent="0.35">
      <c r="A7" t="s">
        <v>54</v>
      </c>
      <c r="B7" t="s">
        <v>54</v>
      </c>
      <c r="G7" t="s">
        <v>674</v>
      </c>
      <c r="H7" t="e">
        <f>VLOOKUP(DimensaoExistente[[#This Row],[%MI%DimensionField]],ImportDimensoes[#All],1,FALSE)</f>
        <v>#N/A</v>
      </c>
    </row>
    <row r="8" spans="1:8" x14ac:dyDescent="0.35">
      <c r="A8" t="s">
        <v>55</v>
      </c>
      <c r="B8" t="s">
        <v>55</v>
      </c>
      <c r="G8" t="s">
        <v>675</v>
      </c>
      <c r="H8" t="e">
        <f>VLOOKUP(DimensaoExistente[[#This Row],[%MI%DimensionField]],ImportDimensoes[#All],1,FALSE)</f>
        <v>#N/A</v>
      </c>
    </row>
    <row r="9" spans="1:8" x14ac:dyDescent="0.35">
      <c r="A9" t="s">
        <v>56</v>
      </c>
      <c r="B9" t="s">
        <v>56</v>
      </c>
      <c r="G9" t="s">
        <v>676</v>
      </c>
      <c r="H9" t="e">
        <f>VLOOKUP(DimensaoExistente[[#This Row],[%MI%DimensionField]],ImportDimensoes[#All],1,FALSE)</f>
        <v>#N/A</v>
      </c>
    </row>
    <row r="10" spans="1:8" x14ac:dyDescent="0.35">
      <c r="A10" t="s">
        <v>677</v>
      </c>
      <c r="B10" t="s">
        <v>677</v>
      </c>
      <c r="G10" t="s">
        <v>678</v>
      </c>
      <c r="H10" t="e">
        <f>VLOOKUP(DimensaoExistente[[#This Row],[%MI%DimensionField]],ImportDimensoes[#All],1,FALSE)</f>
        <v>#N/A</v>
      </c>
    </row>
    <row r="11" spans="1:8" x14ac:dyDescent="0.35">
      <c r="A11" t="s">
        <v>679</v>
      </c>
      <c r="B11" t="s">
        <v>679</v>
      </c>
      <c r="G11" t="s">
        <v>680</v>
      </c>
      <c r="H11" t="e">
        <f>VLOOKUP(DimensaoExistente[[#This Row],[%MI%DimensionField]],ImportDimensoes[#All],1,FALSE)</f>
        <v>#N/A</v>
      </c>
    </row>
    <row r="12" spans="1:8" x14ac:dyDescent="0.35">
      <c r="A12" t="s">
        <v>681</v>
      </c>
      <c r="B12" t="s">
        <v>681</v>
      </c>
      <c r="G12" t="s">
        <v>682</v>
      </c>
      <c r="H12" t="e">
        <f>VLOOKUP(DimensaoExistente[[#This Row],[%MI%DimensionField]],ImportDimensoes[#All],1,FALSE)</f>
        <v>#N/A</v>
      </c>
    </row>
    <row r="13" spans="1:8" x14ac:dyDescent="0.35">
      <c r="A13" t="s">
        <v>506</v>
      </c>
      <c r="B13" t="s">
        <v>506</v>
      </c>
      <c r="G13" t="s">
        <v>518</v>
      </c>
      <c r="H13" t="e">
        <f>VLOOKUP(DimensaoExistente[[#This Row],[%MI%DimensionField]],ImportDimensoes[#All],1,FALSE)</f>
        <v>#N/A</v>
      </c>
    </row>
    <row r="14" spans="1:8" x14ac:dyDescent="0.35">
      <c r="A14" t="s">
        <v>683</v>
      </c>
      <c r="B14" t="s">
        <v>683</v>
      </c>
      <c r="G14" t="s">
        <v>684</v>
      </c>
      <c r="H14" t="e">
        <f>VLOOKUP(DimensaoExistente[[#This Row],[%MI%DimensionField]],ImportDimensoes[#All],1,FALSE)</f>
        <v>#N/A</v>
      </c>
    </row>
    <row r="15" spans="1:8" x14ac:dyDescent="0.35">
      <c r="A15" t="s">
        <v>685</v>
      </c>
      <c r="B15" t="s">
        <v>685</v>
      </c>
      <c r="C15" t="s">
        <v>686</v>
      </c>
      <c r="G15" t="s">
        <v>687</v>
      </c>
      <c r="H15" t="e">
        <f>VLOOKUP(DimensaoExistente[[#This Row],[%MI%DimensionField]],ImportDimensoes[#All],1,FALSE)</f>
        <v>#N/A</v>
      </c>
    </row>
    <row r="16" spans="1:8" x14ac:dyDescent="0.35">
      <c r="A16" t="s">
        <v>90</v>
      </c>
      <c r="B16" t="s">
        <v>90</v>
      </c>
      <c r="G16" t="s">
        <v>688</v>
      </c>
      <c r="H16" t="e">
        <f>VLOOKUP(DimensaoExistente[[#This Row],[%MI%DimensionField]],ImportDimensoes[#All],1,FALSE)</f>
        <v>#N/A</v>
      </c>
    </row>
    <row r="17" spans="1:8" x14ac:dyDescent="0.35">
      <c r="A17" t="s">
        <v>53</v>
      </c>
      <c r="B17" t="s">
        <v>689</v>
      </c>
      <c r="C17" t="s">
        <v>690</v>
      </c>
      <c r="G17" t="s">
        <v>547</v>
      </c>
      <c r="H17" t="e">
        <f>VLOOKUP(DimensaoExistente[[#This Row],[%MI%DimensionField]],ImportDimensoes[#All],1,FALSE)</f>
        <v>#N/A</v>
      </c>
    </row>
    <row r="18" spans="1:8" x14ac:dyDescent="0.35">
      <c r="A18" t="s">
        <v>51</v>
      </c>
      <c r="B18" t="s">
        <v>51</v>
      </c>
      <c r="G18" t="s">
        <v>691</v>
      </c>
      <c r="H18" t="e">
        <f>VLOOKUP(DimensaoExistente[[#This Row],[%MI%DimensionField]],ImportDimensoes[#All],1,FALSE)</f>
        <v>#N/A</v>
      </c>
    </row>
    <row r="19" spans="1:8" x14ac:dyDescent="0.35">
      <c r="A19" t="s">
        <v>504</v>
      </c>
      <c r="B19" t="s">
        <v>504</v>
      </c>
      <c r="G19" t="s">
        <v>519</v>
      </c>
      <c r="H19" t="e">
        <f>VLOOKUP(DimensaoExistente[[#This Row],[%MI%DimensionField]],ImportDimensoes[#All],1,FALSE)</f>
        <v>#N/A</v>
      </c>
    </row>
    <row r="20" spans="1:8" x14ac:dyDescent="0.35">
      <c r="A20" t="s">
        <v>692</v>
      </c>
      <c r="B20" t="s">
        <v>693</v>
      </c>
      <c r="C20" t="s">
        <v>694</v>
      </c>
      <c r="G20" t="s">
        <v>695</v>
      </c>
      <c r="H20" t="e">
        <f>VLOOKUP(DimensaoExistente[[#This Row],[%MI%DimensionField]],ImportDimensoes[#All],1,FALSE)</f>
        <v>#N/A</v>
      </c>
    </row>
    <row r="21" spans="1:8" x14ac:dyDescent="0.35">
      <c r="A21" t="s">
        <v>505</v>
      </c>
      <c r="B21" t="s">
        <v>505</v>
      </c>
      <c r="G21" t="s">
        <v>520</v>
      </c>
      <c r="H21" t="str">
        <f>VLOOKUP(DimensaoExistente[[#This Row],[%MI%DimensionField]],ImportDimensoes[#All],1,FALSE)</f>
        <v>Tipo Informação Regras</v>
      </c>
    </row>
    <row r="22" spans="1:8" x14ac:dyDescent="0.35">
      <c r="A22" t="s">
        <v>696</v>
      </c>
      <c r="B22" t="s">
        <v>696</v>
      </c>
      <c r="C22" t="s">
        <v>697</v>
      </c>
      <c r="G22" t="s">
        <v>698</v>
      </c>
      <c r="H22" t="e">
        <f>VLOOKUP(DimensaoExistente[[#This Row],[%MI%DimensionField]],ImportDimensoes[#All],1,FALSE)</f>
        <v>#N/A</v>
      </c>
    </row>
    <row r="23" spans="1:8" x14ac:dyDescent="0.35">
      <c r="A23" t="s">
        <v>616</v>
      </c>
      <c r="B23" t="s">
        <v>699</v>
      </c>
      <c r="C23" t="s">
        <v>700</v>
      </c>
      <c r="F23" t="s">
        <v>664</v>
      </c>
      <c r="G23" t="s">
        <v>701</v>
      </c>
      <c r="H23" t="e">
        <f>VLOOKUP(DimensaoExistente[[#This Row],[%MI%DimensionField]],ImportDimensoes[#All],1,FALSE)</f>
        <v>#N/A</v>
      </c>
    </row>
    <row r="24" spans="1:8" x14ac:dyDescent="0.35">
      <c r="A24" t="s">
        <v>702</v>
      </c>
      <c r="B24" t="s">
        <v>702</v>
      </c>
      <c r="G24" t="s">
        <v>703</v>
      </c>
      <c r="H24" t="e">
        <f>VLOOKUP(DimensaoExistente[[#This Row],[%MI%DimensionField]],ImportDimensoes[#All],1,FALSE)</f>
        <v>#N/A</v>
      </c>
    </row>
    <row r="25" spans="1:8" x14ac:dyDescent="0.35">
      <c r="A25" t="s">
        <v>89</v>
      </c>
      <c r="B25" t="s">
        <v>704</v>
      </c>
      <c r="G25" t="s">
        <v>705</v>
      </c>
      <c r="H25" t="e">
        <f>VLOOKUP(DimensaoExistente[[#This Row],[%MI%DimensionField]],ImportDimensoes[#All],1,FALSE)</f>
        <v>#N/A</v>
      </c>
    </row>
    <row r="26" spans="1:8" x14ac:dyDescent="0.35">
      <c r="A26" t="s">
        <v>492</v>
      </c>
      <c r="B26" t="s">
        <v>492</v>
      </c>
      <c r="G26" t="s">
        <v>706</v>
      </c>
      <c r="H26" t="e">
        <f>VLOOKUP(DimensaoExistente[[#This Row],[%MI%DimensionField]],ImportDimensoes[#All],1,FALSE)</f>
        <v>#N/A</v>
      </c>
    </row>
    <row r="27" spans="1:8" x14ac:dyDescent="0.35">
      <c r="A27" t="s">
        <v>91</v>
      </c>
      <c r="B27" t="s">
        <v>91</v>
      </c>
      <c r="G27" t="s">
        <v>707</v>
      </c>
      <c r="H27" t="e">
        <f>VLOOKUP(DimensaoExistente[[#This Row],[%MI%DimensionField]],ImportDimensoes[#All],1,FALSE)</f>
        <v>#N/A</v>
      </c>
    </row>
    <row r="28" spans="1:8" x14ac:dyDescent="0.35">
      <c r="A28" t="s">
        <v>92</v>
      </c>
      <c r="B28" t="s">
        <v>92</v>
      </c>
      <c r="G28" t="s">
        <v>708</v>
      </c>
      <c r="H28" t="e">
        <f>VLOOKUP(DimensaoExistente[[#This Row],[%MI%DimensionField]],ImportDimensoes[#All],1,FALSE)</f>
        <v>#N/A</v>
      </c>
    </row>
    <row r="29" spans="1:8" x14ac:dyDescent="0.35">
      <c r="A29" t="s">
        <v>50</v>
      </c>
      <c r="B29" t="s">
        <v>50</v>
      </c>
      <c r="G29" t="s">
        <v>709</v>
      </c>
      <c r="H29" t="e">
        <f>VLOOKUP(DimensaoExistente[[#This Row],[%MI%DimensionField]],ImportDimensoes[#All],1,FALSE)</f>
        <v>#N/A</v>
      </c>
    </row>
    <row r="30" spans="1:8" x14ac:dyDescent="0.35">
      <c r="A30" t="s">
        <v>710</v>
      </c>
      <c r="B30" t="s">
        <v>710</v>
      </c>
      <c r="G30" t="s">
        <v>711</v>
      </c>
      <c r="H30" t="e">
        <f>VLOOKUP(DimensaoExistente[[#This Row],[%MI%DimensionField]],ImportDimensoes[#All],1,FALSE)</f>
        <v>#N/A</v>
      </c>
    </row>
    <row r="31" spans="1:8" x14ac:dyDescent="0.35">
      <c r="A31" t="s">
        <v>712</v>
      </c>
      <c r="B31" t="s">
        <v>712</v>
      </c>
      <c r="G31" t="s">
        <v>713</v>
      </c>
      <c r="H31" t="e">
        <f>VLOOKUP(DimensaoExistente[[#This Row],[%MI%DimensionField]],ImportDimensoes[#All],1,FALSE)</f>
        <v>#N/A</v>
      </c>
    </row>
    <row r="32" spans="1:8" x14ac:dyDescent="0.35">
      <c r="A32" t="s">
        <v>714</v>
      </c>
      <c r="B32" t="s">
        <v>714</v>
      </c>
      <c r="G32" t="s">
        <v>715</v>
      </c>
      <c r="H32" t="e">
        <f>VLOOKUP(DimensaoExistente[[#This Row],[%MI%DimensionField]],ImportDimensoes[#All],1,FALSE)</f>
        <v>#N/A</v>
      </c>
    </row>
    <row r="33" spans="1:8" x14ac:dyDescent="0.35">
      <c r="A33" t="s">
        <v>716</v>
      </c>
      <c r="B33" t="s">
        <v>716</v>
      </c>
      <c r="G33" t="s">
        <v>717</v>
      </c>
      <c r="H33" t="e">
        <f>VLOOKUP(DimensaoExistente[[#This Row],[%MI%DimensionField]],ImportDimensoes[#All],1,FALSE)</f>
        <v>#N/A</v>
      </c>
    </row>
    <row r="34" spans="1:8" x14ac:dyDescent="0.35">
      <c r="A34" t="s">
        <v>718</v>
      </c>
      <c r="B34" t="s">
        <v>718</v>
      </c>
      <c r="G34" t="s">
        <v>719</v>
      </c>
      <c r="H34" t="e">
        <f>VLOOKUP(DimensaoExistente[[#This Row],[%MI%DimensionField]],ImportDimensoes[#All],1,FALSE)</f>
        <v>#N/A</v>
      </c>
    </row>
    <row r="35" spans="1:8" x14ac:dyDescent="0.35">
      <c r="A35" t="s">
        <v>88</v>
      </c>
      <c r="B35" t="s">
        <v>88</v>
      </c>
      <c r="G35" t="s">
        <v>720</v>
      </c>
      <c r="H35" t="e">
        <f>VLOOKUP(DimensaoExistente[[#This Row],[%MI%DimensionField]],ImportDimensoes[#All],1,FALSE)</f>
        <v>#N/A</v>
      </c>
    </row>
    <row r="36" spans="1:8" x14ac:dyDescent="0.35">
      <c r="A36" t="s">
        <v>507</v>
      </c>
      <c r="B36" t="s">
        <v>507</v>
      </c>
      <c r="G36" t="s">
        <v>521</v>
      </c>
      <c r="H36" t="e">
        <f>VLOOKUP(DimensaoExistente[[#This Row],[%MI%DimensionField]],ImportDimensoes[#All],1,FALSE)</f>
        <v>#N/A</v>
      </c>
    </row>
    <row r="37" spans="1:8" x14ac:dyDescent="0.35">
      <c r="A37" t="s">
        <v>721</v>
      </c>
      <c r="B37" t="s">
        <v>721</v>
      </c>
      <c r="G37" t="s">
        <v>722</v>
      </c>
      <c r="H37" t="e">
        <f>VLOOKUP(DimensaoExistente[[#This Row],[%MI%DimensionField]],ImportDimensoes[#All],1,FALSE)</f>
        <v>#N/A</v>
      </c>
    </row>
    <row r="38" spans="1:8" x14ac:dyDescent="0.35">
      <c r="A38" t="s">
        <v>87</v>
      </c>
      <c r="B38" t="s">
        <v>87</v>
      </c>
      <c r="C38" t="s">
        <v>723</v>
      </c>
      <c r="G38" t="s">
        <v>724</v>
      </c>
      <c r="H38" t="e">
        <f>VLOOKUP(DimensaoExistente[[#This Row],[%MI%DimensionField]],ImportDimensoes[#All],1,FALSE)</f>
        <v>#N/A</v>
      </c>
    </row>
    <row r="39" spans="1:8" x14ac:dyDescent="0.35">
      <c r="A39" t="s">
        <v>725</v>
      </c>
      <c r="B39" t="s">
        <v>725</v>
      </c>
      <c r="G39" t="s">
        <v>726</v>
      </c>
      <c r="H39" t="e">
        <f>VLOOKUP(DimensaoExistente[[#This Row],[%MI%DimensionField]],ImportDimensoes[#All],1,FALSE)</f>
        <v>#N/A</v>
      </c>
    </row>
    <row r="40" spans="1:8" x14ac:dyDescent="0.35">
      <c r="A40" t="s">
        <v>692</v>
      </c>
      <c r="B40" t="s">
        <v>692</v>
      </c>
      <c r="G40" t="s">
        <v>727</v>
      </c>
      <c r="H40" t="e">
        <f>VLOOKUP(DimensaoExistente[[#This Row],[%MI%DimensionField]],ImportDimensoes[#All],1,FALSE)</f>
        <v>#N/A</v>
      </c>
    </row>
    <row r="41" spans="1:8" x14ac:dyDescent="0.35">
      <c r="A41" t="s">
        <v>728</v>
      </c>
      <c r="B41" t="s">
        <v>728</v>
      </c>
      <c r="G41" t="s">
        <v>729</v>
      </c>
      <c r="H41" t="e">
        <f>VLOOKUP(DimensaoExistente[[#This Row],[%MI%DimensionField]],ImportDimensoes[#All],1,FALSE)</f>
        <v>#N/A</v>
      </c>
    </row>
    <row r="42" spans="1:8" x14ac:dyDescent="0.35">
      <c r="A42" t="s">
        <v>86</v>
      </c>
      <c r="B42" t="s">
        <v>730</v>
      </c>
      <c r="G42" t="s">
        <v>731</v>
      </c>
      <c r="H42" t="e">
        <f>VLOOKUP(DimensaoExistente[[#This Row],[%MI%DimensionField]],ImportDimensoes[#All],1,FALSE)</f>
        <v>#N/A</v>
      </c>
    </row>
    <row r="43" spans="1:8" x14ac:dyDescent="0.35">
      <c r="A43" t="s">
        <v>93</v>
      </c>
      <c r="B43" t="s">
        <v>93</v>
      </c>
      <c r="G43" t="s">
        <v>732</v>
      </c>
      <c r="H43" t="e">
        <f>VLOOKUP(DimensaoExistente[[#This Row],[%MI%DimensionField]],ImportDimensoes[#All],1,FALSE)</f>
        <v>#N/A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7"/>
  <sheetViews>
    <sheetView zoomScale="90" zoomScaleNormal="90" workbookViewId="0">
      <selection activeCell="A7" sqref="A7"/>
    </sheetView>
  </sheetViews>
  <sheetFormatPr defaultRowHeight="14.5" x14ac:dyDescent="0.35"/>
  <cols>
    <col min="1" max="1" width="79.54296875" customWidth="1"/>
    <col min="2" max="2" width="34.81640625" customWidth="1"/>
    <col min="3" max="3" width="32.54296875" customWidth="1"/>
    <col min="4" max="4" width="37.81640625" customWidth="1"/>
    <col min="5" max="5" width="21.7265625" bestFit="1" customWidth="1"/>
    <col min="6" max="6" width="20.453125" customWidth="1"/>
    <col min="7" max="7" width="14.7265625" customWidth="1"/>
    <col min="8" max="8" width="27.81640625" customWidth="1"/>
    <col min="9" max="9" width="18.26953125" customWidth="1"/>
    <col min="10" max="10" width="18.26953125" style="16" customWidth="1"/>
  </cols>
  <sheetData>
    <row r="1" spans="1:11" x14ac:dyDescent="0.35">
      <c r="A1" s="21" t="s">
        <v>594</v>
      </c>
      <c r="B1" s="21" t="s">
        <v>595</v>
      </c>
      <c r="C1" s="21" t="s">
        <v>596</v>
      </c>
      <c r="D1" s="21" t="s">
        <v>597</v>
      </c>
      <c r="E1" s="21" t="s">
        <v>598</v>
      </c>
      <c r="F1" s="21" t="s">
        <v>599</v>
      </c>
      <c r="G1" s="22" t="s">
        <v>600</v>
      </c>
      <c r="H1" s="23" t="s">
        <v>601</v>
      </c>
      <c r="I1" s="21" t="s">
        <v>602</v>
      </c>
      <c r="J1" s="22" t="s">
        <v>769</v>
      </c>
      <c r="K1" s="21" t="s">
        <v>490</v>
      </c>
    </row>
    <row r="2" spans="1:11" x14ac:dyDescent="0.35">
      <c r="A2" s="16" t="s">
        <v>545</v>
      </c>
      <c r="B2" s="16" t="s">
        <v>623</v>
      </c>
      <c r="C2" s="16" t="s">
        <v>763</v>
      </c>
      <c r="D2" s="16" t="s">
        <v>623</v>
      </c>
      <c r="E2" s="16"/>
      <c r="F2" s="16" t="s">
        <v>660</v>
      </c>
      <c r="G2" s="16"/>
      <c r="H2" s="26" t="s">
        <v>603</v>
      </c>
      <c r="I2" s="22">
        <v>20009</v>
      </c>
      <c r="J2" s="22"/>
    </row>
    <row r="3" spans="1:11" x14ac:dyDescent="0.35">
      <c r="A3" s="16" t="s">
        <v>523</v>
      </c>
      <c r="B3" s="16" t="s">
        <v>626</v>
      </c>
      <c r="C3" s="16" t="s">
        <v>764</v>
      </c>
      <c r="D3" s="16" t="s">
        <v>626</v>
      </c>
      <c r="E3" s="16"/>
      <c r="F3" s="16" t="s">
        <v>660</v>
      </c>
      <c r="G3" s="16"/>
      <c r="H3" s="26" t="s">
        <v>603</v>
      </c>
      <c r="I3" s="22">
        <v>20013</v>
      </c>
      <c r="J3" s="22"/>
    </row>
    <row r="4" spans="1:11" x14ac:dyDescent="0.35">
      <c r="A4" t="s">
        <v>535</v>
      </c>
      <c r="B4" t="s">
        <v>627</v>
      </c>
      <c r="C4" s="28" t="s">
        <v>768</v>
      </c>
      <c r="D4" s="16" t="s">
        <v>627</v>
      </c>
      <c r="E4" t="s">
        <v>765</v>
      </c>
      <c r="F4" t="s">
        <v>660</v>
      </c>
      <c r="H4" s="26" t="s">
        <v>604</v>
      </c>
      <c r="I4" s="22">
        <v>20010</v>
      </c>
      <c r="J4" s="22"/>
    </row>
    <row r="5" spans="1:11" x14ac:dyDescent="0.35">
      <c r="A5" t="s">
        <v>534</v>
      </c>
      <c r="B5" s="16" t="s">
        <v>628</v>
      </c>
      <c r="C5" s="28" t="s">
        <v>767</v>
      </c>
      <c r="D5" s="16" t="s">
        <v>628</v>
      </c>
      <c r="E5" t="s">
        <v>765</v>
      </c>
      <c r="F5" s="16" t="s">
        <v>660</v>
      </c>
      <c r="H5" s="26" t="s">
        <v>603</v>
      </c>
      <c r="I5" s="22">
        <v>20011</v>
      </c>
      <c r="J5" s="22"/>
    </row>
    <row r="6" spans="1:11" x14ac:dyDescent="0.35">
      <c r="A6" t="s">
        <v>537</v>
      </c>
      <c r="B6" s="16" t="s">
        <v>631</v>
      </c>
      <c r="C6" s="28" t="s">
        <v>771</v>
      </c>
      <c r="D6" s="16" t="s">
        <v>631</v>
      </c>
      <c r="E6" t="s">
        <v>765</v>
      </c>
      <c r="F6" s="16" t="s">
        <v>660</v>
      </c>
      <c r="H6" s="26" t="s">
        <v>603</v>
      </c>
      <c r="I6" s="22">
        <v>20012</v>
      </c>
      <c r="J6" s="22" t="s">
        <v>770</v>
      </c>
    </row>
    <row r="7" spans="1:11" x14ac:dyDescent="0.35">
      <c r="A7" t="s">
        <v>536</v>
      </c>
      <c r="B7" s="16" t="s">
        <v>636</v>
      </c>
      <c r="C7" s="28" t="s">
        <v>766</v>
      </c>
      <c r="D7" s="16" t="s">
        <v>636</v>
      </c>
      <c r="E7" t="s">
        <v>765</v>
      </c>
      <c r="F7" s="16" t="s">
        <v>660</v>
      </c>
      <c r="H7" s="26" t="s">
        <v>603</v>
      </c>
      <c r="I7" s="22">
        <v>20014</v>
      </c>
      <c r="J7" s="22" t="s">
        <v>770</v>
      </c>
    </row>
    <row r="8" spans="1:11" x14ac:dyDescent="0.35">
      <c r="A8" t="s">
        <v>525</v>
      </c>
      <c r="B8" s="16" t="s">
        <v>624</v>
      </c>
      <c r="C8" s="16" t="s">
        <v>748</v>
      </c>
      <c r="D8" s="16" t="s">
        <v>624</v>
      </c>
      <c r="F8" s="16" t="s">
        <v>660</v>
      </c>
      <c r="H8" s="26" t="s">
        <v>603</v>
      </c>
      <c r="I8" s="22">
        <v>20017</v>
      </c>
      <c r="J8" s="22"/>
    </row>
    <row r="9" spans="1:11" x14ac:dyDescent="0.35">
      <c r="A9" t="s">
        <v>531</v>
      </c>
      <c r="B9" s="16" t="s">
        <v>637</v>
      </c>
      <c r="C9" s="28" t="s">
        <v>768</v>
      </c>
      <c r="D9" s="16" t="s">
        <v>637</v>
      </c>
      <c r="E9" t="s">
        <v>773</v>
      </c>
      <c r="F9" s="16" t="s">
        <v>660</v>
      </c>
      <c r="H9" s="26" t="s">
        <v>604</v>
      </c>
      <c r="I9" s="22">
        <v>20018</v>
      </c>
      <c r="J9" s="22"/>
    </row>
    <row r="10" spans="1:11" x14ac:dyDescent="0.35">
      <c r="A10" t="s">
        <v>529</v>
      </c>
      <c r="B10" t="s">
        <v>632</v>
      </c>
      <c r="C10" s="28" t="s">
        <v>767</v>
      </c>
      <c r="D10" s="16" t="s">
        <v>632</v>
      </c>
      <c r="E10" t="s">
        <v>773</v>
      </c>
      <c r="F10" s="16" t="s">
        <v>660</v>
      </c>
      <c r="H10" s="26" t="s">
        <v>603</v>
      </c>
      <c r="I10" s="22">
        <v>20019</v>
      </c>
      <c r="J10" s="22"/>
    </row>
    <row r="11" spans="1:11" x14ac:dyDescent="0.35">
      <c r="A11" t="s">
        <v>533</v>
      </c>
      <c r="B11" t="s">
        <v>629</v>
      </c>
      <c r="C11" s="28" t="s">
        <v>771</v>
      </c>
      <c r="D11" s="16" t="s">
        <v>629</v>
      </c>
      <c r="E11" s="16" t="s">
        <v>773</v>
      </c>
      <c r="F11" s="16" t="s">
        <v>660</v>
      </c>
      <c r="H11" s="26" t="s">
        <v>603</v>
      </c>
      <c r="I11" s="22">
        <v>20020</v>
      </c>
      <c r="J11" s="22" t="s">
        <v>770</v>
      </c>
    </row>
    <row r="12" spans="1:11" x14ac:dyDescent="0.35">
      <c r="A12" t="s">
        <v>532</v>
      </c>
      <c r="B12" t="s">
        <v>630</v>
      </c>
      <c r="C12" s="28" t="s">
        <v>766</v>
      </c>
      <c r="D12" s="16" t="s">
        <v>630</v>
      </c>
      <c r="E12" t="s">
        <v>773</v>
      </c>
      <c r="F12" s="16" t="s">
        <v>660</v>
      </c>
      <c r="H12" s="26" t="s">
        <v>603</v>
      </c>
      <c r="I12" s="22">
        <v>20021</v>
      </c>
      <c r="J12" s="22" t="s">
        <v>770</v>
      </c>
    </row>
    <row r="13" spans="1:11" x14ac:dyDescent="0.35">
      <c r="A13" t="s">
        <v>524</v>
      </c>
      <c r="B13" t="s">
        <v>625</v>
      </c>
      <c r="C13" s="16" t="s">
        <v>751</v>
      </c>
      <c r="D13" s="16" t="s">
        <v>625</v>
      </c>
      <c r="E13" s="16"/>
      <c r="F13" s="16" t="s">
        <v>660</v>
      </c>
      <c r="H13" s="26" t="s">
        <v>603</v>
      </c>
      <c r="I13" s="22">
        <v>20024</v>
      </c>
      <c r="J13" s="22"/>
    </row>
    <row r="14" spans="1:11" x14ac:dyDescent="0.35">
      <c r="A14" t="s">
        <v>541</v>
      </c>
      <c r="B14" t="s">
        <v>638</v>
      </c>
      <c r="C14" s="28" t="s">
        <v>768</v>
      </c>
      <c r="D14" s="16" t="s">
        <v>638</v>
      </c>
      <c r="E14" t="s">
        <v>772</v>
      </c>
      <c r="F14" s="16" t="s">
        <v>660</v>
      </c>
      <c r="H14" s="26" t="s">
        <v>604</v>
      </c>
      <c r="I14" s="22">
        <v>20025</v>
      </c>
      <c r="J14" s="22"/>
    </row>
    <row r="15" spans="1:11" x14ac:dyDescent="0.35">
      <c r="A15" t="s">
        <v>540</v>
      </c>
      <c r="B15" t="s">
        <v>633</v>
      </c>
      <c r="C15" s="28" t="s">
        <v>767</v>
      </c>
      <c r="D15" s="16" t="s">
        <v>633</v>
      </c>
      <c r="E15" s="16" t="s">
        <v>772</v>
      </c>
      <c r="F15" s="16" t="s">
        <v>660</v>
      </c>
      <c r="H15" s="26" t="s">
        <v>603</v>
      </c>
      <c r="I15" s="22">
        <v>20026</v>
      </c>
      <c r="J15" s="22"/>
    </row>
    <row r="16" spans="1:11" x14ac:dyDescent="0.35">
      <c r="A16" s="16" t="s">
        <v>543</v>
      </c>
      <c r="B16" t="s">
        <v>634</v>
      </c>
      <c r="C16" s="28" t="s">
        <v>771</v>
      </c>
      <c r="D16" s="16" t="s">
        <v>634</v>
      </c>
      <c r="E16" t="s">
        <v>772</v>
      </c>
      <c r="F16" s="16" t="s">
        <v>660</v>
      </c>
      <c r="H16" s="26" t="s">
        <v>603</v>
      </c>
      <c r="I16" s="22">
        <v>20027</v>
      </c>
      <c r="J16" s="22" t="s">
        <v>770</v>
      </c>
    </row>
    <row r="17" spans="1:11" x14ac:dyDescent="0.35">
      <c r="A17" s="16" t="s">
        <v>542</v>
      </c>
      <c r="B17" t="s">
        <v>635</v>
      </c>
      <c r="C17" s="28" t="s">
        <v>766</v>
      </c>
      <c r="D17" s="16" t="s">
        <v>635</v>
      </c>
      <c r="E17" t="s">
        <v>772</v>
      </c>
      <c r="F17" s="16" t="s">
        <v>660</v>
      </c>
      <c r="H17" s="26" t="s">
        <v>603</v>
      </c>
      <c r="I17" s="22">
        <v>20028</v>
      </c>
      <c r="J17" s="22" t="s">
        <v>770</v>
      </c>
    </row>
    <row r="18" spans="1:11" x14ac:dyDescent="0.35">
      <c r="A18" t="s">
        <v>564</v>
      </c>
      <c r="B18" t="s">
        <v>617</v>
      </c>
      <c r="C18" s="16" t="s">
        <v>757</v>
      </c>
      <c r="D18" s="16" t="s">
        <v>617</v>
      </c>
      <c r="F18" s="16" t="s">
        <v>660</v>
      </c>
      <c r="H18" s="26" t="s">
        <v>603</v>
      </c>
      <c r="I18" s="22">
        <v>20003</v>
      </c>
      <c r="J18" s="22"/>
    </row>
    <row r="19" spans="1:11" x14ac:dyDescent="0.35">
      <c r="A19" t="s">
        <v>565</v>
      </c>
      <c r="B19" t="s">
        <v>618</v>
      </c>
      <c r="C19" s="16" t="s">
        <v>758</v>
      </c>
      <c r="D19" s="16" t="s">
        <v>618</v>
      </c>
      <c r="E19" s="16"/>
      <c r="F19" s="16" t="s">
        <v>660</v>
      </c>
      <c r="H19" s="26" t="s">
        <v>603</v>
      </c>
      <c r="I19" s="22">
        <v>20004</v>
      </c>
      <c r="J19" s="22"/>
    </row>
    <row r="20" spans="1:11" x14ac:dyDescent="0.35">
      <c r="A20" t="s">
        <v>566</v>
      </c>
      <c r="B20" t="s">
        <v>619</v>
      </c>
      <c r="C20" s="16" t="s">
        <v>759</v>
      </c>
      <c r="D20" s="16" t="s">
        <v>619</v>
      </c>
      <c r="E20" s="16"/>
      <c r="F20" s="16" t="s">
        <v>660</v>
      </c>
      <c r="H20" s="26" t="s">
        <v>603</v>
      </c>
      <c r="I20" s="22">
        <v>20005</v>
      </c>
      <c r="J20" s="22"/>
    </row>
    <row r="21" spans="1:11" x14ac:dyDescent="0.35">
      <c r="A21" t="s">
        <v>567</v>
      </c>
      <c r="B21" t="s">
        <v>620</v>
      </c>
      <c r="C21" s="16" t="s">
        <v>760</v>
      </c>
      <c r="D21" s="16" t="s">
        <v>620</v>
      </c>
      <c r="E21" s="16"/>
      <c r="F21" s="16" t="s">
        <v>660</v>
      </c>
      <c r="H21" s="26" t="s">
        <v>603</v>
      </c>
      <c r="I21" s="22">
        <v>20006</v>
      </c>
      <c r="J21" s="22"/>
    </row>
    <row r="22" spans="1:11" x14ac:dyDescent="0.35">
      <c r="A22" t="s">
        <v>568</v>
      </c>
      <c r="B22" s="16" t="s">
        <v>621</v>
      </c>
      <c r="C22" s="16" t="s">
        <v>761</v>
      </c>
      <c r="D22" s="16" t="s">
        <v>621</v>
      </c>
      <c r="E22" s="16"/>
      <c r="F22" s="16" t="s">
        <v>660</v>
      </c>
      <c r="H22" s="26" t="s">
        <v>603</v>
      </c>
      <c r="I22" s="22">
        <v>20007</v>
      </c>
      <c r="J22" s="22"/>
    </row>
    <row r="23" spans="1:11" x14ac:dyDescent="0.35">
      <c r="A23" t="s">
        <v>569</v>
      </c>
      <c r="B23" t="s">
        <v>622</v>
      </c>
      <c r="C23" s="16" t="s">
        <v>762</v>
      </c>
      <c r="D23" s="16" t="s">
        <v>622</v>
      </c>
      <c r="F23" s="16" t="s">
        <v>660</v>
      </c>
      <c r="H23" s="26" t="s">
        <v>603</v>
      </c>
      <c r="I23" s="22">
        <v>20008</v>
      </c>
      <c r="J23" s="22"/>
    </row>
    <row r="24" spans="1:11" x14ac:dyDescent="0.35">
      <c r="A24" t="s">
        <v>580</v>
      </c>
      <c r="B24" t="s">
        <v>649</v>
      </c>
      <c r="C24" s="16" t="s">
        <v>737</v>
      </c>
      <c r="D24" s="16" t="s">
        <v>649</v>
      </c>
      <c r="F24" s="16" t="s">
        <v>660</v>
      </c>
      <c r="H24" s="26" t="s">
        <v>604</v>
      </c>
      <c r="I24" s="22">
        <v>20035</v>
      </c>
      <c r="J24" s="22"/>
    </row>
    <row r="25" spans="1:11" x14ac:dyDescent="0.35">
      <c r="A25" t="s">
        <v>578</v>
      </c>
      <c r="B25" t="s">
        <v>644</v>
      </c>
      <c r="C25" s="16" t="s">
        <v>753</v>
      </c>
      <c r="D25" s="16" t="s">
        <v>644</v>
      </c>
      <c r="F25" s="16" t="s">
        <v>660</v>
      </c>
      <c r="H25" s="26" t="s">
        <v>604</v>
      </c>
      <c r="I25" s="22">
        <v>20030</v>
      </c>
      <c r="J25" s="22"/>
    </row>
    <row r="26" spans="1:11" x14ac:dyDescent="0.35">
      <c r="A26" t="s">
        <v>549</v>
      </c>
      <c r="B26" t="s">
        <v>651</v>
      </c>
      <c r="C26" s="16" t="s">
        <v>738</v>
      </c>
      <c r="D26" s="16" t="s">
        <v>651</v>
      </c>
      <c r="E26" s="16"/>
      <c r="F26" s="16" t="s">
        <v>660</v>
      </c>
      <c r="H26" s="26" t="s">
        <v>603</v>
      </c>
      <c r="I26" s="22">
        <v>20036</v>
      </c>
      <c r="J26" s="22"/>
    </row>
    <row r="27" spans="1:11" x14ac:dyDescent="0.35">
      <c r="A27" t="s">
        <v>548</v>
      </c>
      <c r="B27" t="s">
        <v>650</v>
      </c>
      <c r="C27" s="16" t="s">
        <v>739</v>
      </c>
      <c r="D27" s="16" t="s">
        <v>650</v>
      </c>
      <c r="E27" s="16"/>
      <c r="F27" s="16" t="s">
        <v>660</v>
      </c>
      <c r="H27" s="26" t="s">
        <v>603</v>
      </c>
      <c r="I27" s="22">
        <v>20037</v>
      </c>
      <c r="J27" s="22"/>
    </row>
    <row r="28" spans="1:11" x14ac:dyDescent="0.35">
      <c r="A28" t="s">
        <v>577</v>
      </c>
      <c r="B28" t="s">
        <v>646</v>
      </c>
      <c r="C28" s="16" t="s">
        <v>755</v>
      </c>
      <c r="D28" s="16" t="s">
        <v>646</v>
      </c>
      <c r="E28" s="16"/>
      <c r="F28" s="16" t="s">
        <v>660</v>
      </c>
      <c r="H28" s="26" t="s">
        <v>603</v>
      </c>
      <c r="I28" s="22">
        <v>20032</v>
      </c>
      <c r="J28" s="22"/>
    </row>
    <row r="29" spans="1:11" x14ac:dyDescent="0.35">
      <c r="A29" t="s">
        <v>576</v>
      </c>
      <c r="B29" t="s">
        <v>645</v>
      </c>
      <c r="C29" s="16" t="s">
        <v>754</v>
      </c>
      <c r="D29" s="16" t="s">
        <v>645</v>
      </c>
      <c r="E29" s="16"/>
      <c r="F29" s="16" t="s">
        <v>660</v>
      </c>
      <c r="H29" s="26" t="s">
        <v>603</v>
      </c>
      <c r="I29" s="22">
        <v>20031</v>
      </c>
      <c r="J29" s="22"/>
    </row>
    <row r="30" spans="1:11" x14ac:dyDescent="0.35">
      <c r="A30" t="s">
        <v>538</v>
      </c>
      <c r="B30" t="s">
        <v>652</v>
      </c>
      <c r="C30" s="16" t="s">
        <v>740</v>
      </c>
      <c r="D30" s="16" t="s">
        <v>652</v>
      </c>
      <c r="F30" s="16" t="s">
        <v>660</v>
      </c>
      <c r="H30" s="26" t="s">
        <v>603</v>
      </c>
      <c r="I30" s="22">
        <v>20038</v>
      </c>
      <c r="J30" s="22"/>
    </row>
    <row r="31" spans="1:11" x14ac:dyDescent="0.35">
      <c r="C31" s="16"/>
      <c r="D31" s="16"/>
      <c r="F31" s="16"/>
      <c r="H31" s="16"/>
      <c r="I31" s="16"/>
      <c r="J31" s="22"/>
      <c r="K31" s="2"/>
    </row>
    <row r="32" spans="1:11" x14ac:dyDescent="0.35">
      <c r="A32" t="s">
        <v>553</v>
      </c>
      <c r="B32" s="16" t="s">
        <v>654</v>
      </c>
      <c r="C32" s="16" t="s">
        <v>741</v>
      </c>
      <c r="D32" s="16" t="s">
        <v>654</v>
      </c>
      <c r="F32" s="16" t="s">
        <v>660</v>
      </c>
      <c r="H32" s="26" t="s">
        <v>603</v>
      </c>
      <c r="I32" s="22">
        <v>20039</v>
      </c>
      <c r="J32" s="22"/>
    </row>
    <row r="33" spans="1:11" x14ac:dyDescent="0.35">
      <c r="A33" t="s">
        <v>539</v>
      </c>
      <c r="B33" s="16" t="s">
        <v>655</v>
      </c>
      <c r="C33" s="16" t="s">
        <v>742</v>
      </c>
      <c r="D33" s="16" t="s">
        <v>655</v>
      </c>
      <c r="F33" s="16" t="s">
        <v>660</v>
      </c>
      <c r="H33" s="26" t="s">
        <v>603</v>
      </c>
      <c r="I33" s="22">
        <v>20040</v>
      </c>
      <c r="J33" s="22"/>
    </row>
    <row r="34" spans="1:11" x14ac:dyDescent="0.35">
      <c r="A34" t="s">
        <v>573</v>
      </c>
      <c r="B34" t="s">
        <v>501</v>
      </c>
      <c r="C34" s="16" t="s">
        <v>743</v>
      </c>
      <c r="D34" s="16" t="s">
        <v>501</v>
      </c>
      <c r="F34" s="16" t="s">
        <v>660</v>
      </c>
      <c r="H34" s="26" t="s">
        <v>603</v>
      </c>
      <c r="I34" s="22">
        <v>20041</v>
      </c>
      <c r="J34" s="22"/>
    </row>
    <row r="35" spans="1:11" x14ac:dyDescent="0.35">
      <c r="A35" t="s">
        <v>570</v>
      </c>
      <c r="B35" t="s">
        <v>656</v>
      </c>
      <c r="C35" s="16" t="s">
        <v>744</v>
      </c>
      <c r="D35" s="16" t="s">
        <v>656</v>
      </c>
      <c r="F35" s="16" t="s">
        <v>660</v>
      </c>
      <c r="H35" s="26" t="s">
        <v>603</v>
      </c>
      <c r="I35" s="22">
        <v>20042</v>
      </c>
      <c r="J35" s="22"/>
    </row>
    <row r="36" spans="1:11" x14ac:dyDescent="0.35">
      <c r="A36" t="s">
        <v>571</v>
      </c>
      <c r="B36" t="s">
        <v>657</v>
      </c>
      <c r="C36" s="16" t="s">
        <v>745</v>
      </c>
      <c r="D36" s="16" t="s">
        <v>657</v>
      </c>
      <c r="F36" s="16" t="s">
        <v>660</v>
      </c>
      <c r="H36" s="26" t="s">
        <v>603</v>
      </c>
      <c r="I36" s="22">
        <v>20043</v>
      </c>
      <c r="J36" s="22"/>
    </row>
    <row r="37" spans="1:11" x14ac:dyDescent="0.35">
      <c r="A37" t="s">
        <v>572</v>
      </c>
      <c r="B37" t="s">
        <v>502</v>
      </c>
      <c r="C37" s="16" t="s">
        <v>746</v>
      </c>
      <c r="D37" s="16" t="s">
        <v>502</v>
      </c>
      <c r="F37" s="16" t="s">
        <v>660</v>
      </c>
      <c r="H37" s="26" t="s">
        <v>603</v>
      </c>
      <c r="I37" s="22">
        <v>20044</v>
      </c>
      <c r="J37" s="22"/>
    </row>
    <row r="38" spans="1:11" x14ac:dyDescent="0.35">
      <c r="A38" t="s">
        <v>552</v>
      </c>
      <c r="B38" t="s">
        <v>653</v>
      </c>
      <c r="C38" s="16" t="s">
        <v>747</v>
      </c>
      <c r="D38" s="16" t="s">
        <v>653</v>
      </c>
      <c r="F38" s="16" t="s">
        <v>660</v>
      </c>
      <c r="H38" s="26" t="s">
        <v>603</v>
      </c>
      <c r="I38" s="22">
        <v>20045</v>
      </c>
      <c r="J38" s="22"/>
    </row>
    <row r="39" spans="1:11" x14ac:dyDescent="0.35">
      <c r="A39" t="s">
        <v>575</v>
      </c>
      <c r="B39" t="s">
        <v>643</v>
      </c>
      <c r="C39" s="16" t="s">
        <v>752</v>
      </c>
      <c r="D39" s="16" t="s">
        <v>643</v>
      </c>
      <c r="F39" s="16" t="s">
        <v>660</v>
      </c>
      <c r="H39" s="26" t="s">
        <v>603</v>
      </c>
      <c r="I39" s="22">
        <v>20029</v>
      </c>
      <c r="J39" s="22"/>
    </row>
    <row r="40" spans="1:11" x14ac:dyDescent="0.35">
      <c r="A40" s="28" t="s">
        <v>658</v>
      </c>
      <c r="B40" t="s">
        <v>647</v>
      </c>
      <c r="C40" s="28" t="s">
        <v>658</v>
      </c>
      <c r="D40" s="16" t="s">
        <v>647</v>
      </c>
      <c r="F40" s="16" t="s">
        <v>660</v>
      </c>
      <c r="H40" s="26" t="s">
        <v>603</v>
      </c>
      <c r="I40" s="22">
        <v>20015</v>
      </c>
      <c r="J40" s="22"/>
    </row>
    <row r="41" spans="1:11" x14ac:dyDescent="0.35">
      <c r="A41" t="s">
        <v>579</v>
      </c>
      <c r="B41" t="s">
        <v>642</v>
      </c>
      <c r="C41" s="16" t="s">
        <v>756</v>
      </c>
      <c r="D41" s="16" t="s">
        <v>642</v>
      </c>
      <c r="F41" s="16" t="s">
        <v>660</v>
      </c>
      <c r="H41" s="26" t="s">
        <v>603</v>
      </c>
      <c r="I41" s="22">
        <v>20033</v>
      </c>
      <c r="J41" s="22"/>
    </row>
    <row r="42" spans="1:11" x14ac:dyDescent="0.35">
      <c r="A42" t="s">
        <v>516</v>
      </c>
      <c r="B42" t="s">
        <v>640</v>
      </c>
      <c r="C42" s="16" t="s">
        <v>749</v>
      </c>
      <c r="D42" s="16" t="s">
        <v>640</v>
      </c>
      <c r="F42" s="16" t="s">
        <v>660</v>
      </c>
      <c r="H42" s="26" t="s">
        <v>603</v>
      </c>
      <c r="I42" s="22">
        <v>20022</v>
      </c>
      <c r="J42" s="22"/>
    </row>
    <row r="43" spans="1:11" x14ac:dyDescent="0.35">
      <c r="A43" t="s">
        <v>515</v>
      </c>
      <c r="B43" t="s">
        <v>639</v>
      </c>
      <c r="C43" s="16" t="s">
        <v>750</v>
      </c>
      <c r="D43" s="16" t="s">
        <v>639</v>
      </c>
      <c r="F43" s="16" t="s">
        <v>660</v>
      </c>
      <c r="H43" s="26" t="s">
        <v>603</v>
      </c>
      <c r="I43" s="22">
        <v>20023</v>
      </c>
      <c r="J43" s="22"/>
    </row>
    <row r="44" spans="1:11" x14ac:dyDescent="0.35">
      <c r="A44" s="28" t="s">
        <v>659</v>
      </c>
      <c r="B44" t="s">
        <v>648</v>
      </c>
      <c r="C44" s="28" t="s">
        <v>659</v>
      </c>
      <c r="D44" s="16" t="s">
        <v>648</v>
      </c>
      <c r="F44" s="16" t="s">
        <v>660</v>
      </c>
      <c r="H44" s="26" t="s">
        <v>603</v>
      </c>
      <c r="I44" s="22">
        <v>20016</v>
      </c>
      <c r="J44" s="22"/>
    </row>
    <row r="45" spans="1:11" x14ac:dyDescent="0.35">
      <c r="A45" t="s">
        <v>514</v>
      </c>
      <c r="B45" t="s">
        <v>641</v>
      </c>
      <c r="C45" s="16" t="s">
        <v>641</v>
      </c>
      <c r="D45" s="16" t="s">
        <v>641</v>
      </c>
      <c r="F45" s="16" t="s">
        <v>660</v>
      </c>
      <c r="H45" s="26" t="s">
        <v>603</v>
      </c>
      <c r="I45" s="22">
        <v>20034</v>
      </c>
      <c r="J45" s="22"/>
    </row>
    <row r="46" spans="1:11" x14ac:dyDescent="0.35">
      <c r="A46" s="24"/>
      <c r="B46" s="22"/>
      <c r="C46" s="24"/>
      <c r="D46" s="24"/>
      <c r="E46" s="22"/>
      <c r="F46" s="22"/>
      <c r="G46" s="25"/>
      <c r="H46" s="26"/>
      <c r="I46" s="22"/>
      <c r="J46" s="22"/>
    </row>
    <row r="47" spans="1:11" x14ac:dyDescent="0.35">
      <c r="A47" s="24"/>
      <c r="B47" s="22"/>
      <c r="C47" s="24"/>
      <c r="D47" s="24"/>
      <c r="E47" s="22"/>
      <c r="F47" s="22"/>
      <c r="G47" s="25"/>
      <c r="H47" s="26"/>
      <c r="I47" s="22"/>
      <c r="J47" s="22"/>
      <c r="K47" s="16"/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workbookViewId="0">
      <selection activeCell="B4" sqref="B4"/>
    </sheetView>
  </sheetViews>
  <sheetFormatPr defaultColWidth="16.54296875" defaultRowHeight="14.5" x14ac:dyDescent="0.35"/>
  <cols>
    <col min="1" max="1" width="11.54296875" bestFit="1" customWidth="1"/>
    <col min="2" max="2" width="140.26953125" customWidth="1"/>
  </cols>
  <sheetData>
    <row r="1" spans="1:3" ht="15.5" thickTop="1" thickBot="1" x14ac:dyDescent="0.4">
      <c r="A1" s="27" t="s">
        <v>490</v>
      </c>
      <c r="B1" s="27" t="s">
        <v>605</v>
      </c>
      <c r="C1" s="27" t="s">
        <v>606</v>
      </c>
    </row>
    <row r="2" spans="1:3" ht="15" thickTop="1" x14ac:dyDescent="0.35">
      <c r="A2" s="16" t="s">
        <v>513</v>
      </c>
      <c r="B2" s="16" t="s">
        <v>545</v>
      </c>
    </row>
    <row r="3" spans="1:3" x14ac:dyDescent="0.35">
      <c r="A3" s="16" t="s">
        <v>513</v>
      </c>
      <c r="B3" s="16" t="s">
        <v>523</v>
      </c>
    </row>
    <row r="4" spans="1:3" x14ac:dyDescent="0.35">
      <c r="A4" s="16" t="s">
        <v>513</v>
      </c>
      <c r="B4" s="16" t="s">
        <v>535</v>
      </c>
    </row>
    <row r="5" spans="1:3" x14ac:dyDescent="0.35">
      <c r="A5" s="16" t="s">
        <v>513</v>
      </c>
      <c r="B5" s="16" t="s">
        <v>534</v>
      </c>
    </row>
    <row r="6" spans="1:3" x14ac:dyDescent="0.35">
      <c r="A6" s="16" t="s">
        <v>513</v>
      </c>
      <c r="B6" s="16" t="s">
        <v>537</v>
      </c>
    </row>
    <row r="7" spans="1:3" x14ac:dyDescent="0.35">
      <c r="A7" s="16" t="s">
        <v>513</v>
      </c>
      <c r="B7" s="16" t="s">
        <v>536</v>
      </c>
    </row>
    <row r="8" spans="1:3" x14ac:dyDescent="0.35">
      <c r="A8" s="16" t="s">
        <v>513</v>
      </c>
      <c r="B8" s="16" t="s">
        <v>525</v>
      </c>
    </row>
    <row r="9" spans="1:3" x14ac:dyDescent="0.35">
      <c r="A9" s="16" t="s">
        <v>513</v>
      </c>
      <c r="B9" s="16" t="s">
        <v>531</v>
      </c>
    </row>
    <row r="10" spans="1:3" x14ac:dyDescent="0.35">
      <c r="A10" s="16" t="s">
        <v>513</v>
      </c>
      <c r="B10" s="16" t="s">
        <v>529</v>
      </c>
    </row>
    <row r="11" spans="1:3" x14ac:dyDescent="0.35">
      <c r="A11" s="16" t="s">
        <v>513</v>
      </c>
      <c r="B11" s="16" t="s">
        <v>533</v>
      </c>
    </row>
    <row r="12" spans="1:3" x14ac:dyDescent="0.35">
      <c r="A12" s="16" t="s">
        <v>513</v>
      </c>
      <c r="B12" s="16" t="s">
        <v>532</v>
      </c>
    </row>
    <row r="13" spans="1:3" x14ac:dyDescent="0.35">
      <c r="A13" s="16" t="s">
        <v>513</v>
      </c>
      <c r="B13" s="16" t="s">
        <v>524</v>
      </c>
    </row>
    <row r="14" spans="1:3" x14ac:dyDescent="0.35">
      <c r="A14" s="16" t="s">
        <v>513</v>
      </c>
      <c r="B14" s="16" t="s">
        <v>541</v>
      </c>
    </row>
    <row r="15" spans="1:3" x14ac:dyDescent="0.35">
      <c r="A15" s="16" t="s">
        <v>513</v>
      </c>
      <c r="B15" s="16" t="s">
        <v>540</v>
      </c>
    </row>
    <row r="16" spans="1:3" x14ac:dyDescent="0.35">
      <c r="A16" s="16" t="s">
        <v>513</v>
      </c>
      <c r="B16" s="16" t="s">
        <v>543</v>
      </c>
    </row>
    <row r="17" spans="1:2" x14ac:dyDescent="0.35">
      <c r="A17" s="16" t="s">
        <v>513</v>
      </c>
      <c r="B17" s="16" t="s">
        <v>542</v>
      </c>
    </row>
    <row r="18" spans="1:2" x14ac:dyDescent="0.35">
      <c r="A18" s="16" t="s">
        <v>513</v>
      </c>
      <c r="B18" s="16" t="s">
        <v>564</v>
      </c>
    </row>
    <row r="19" spans="1:2" x14ac:dyDescent="0.35">
      <c r="A19" s="16" t="s">
        <v>513</v>
      </c>
      <c r="B19" s="16" t="s">
        <v>565</v>
      </c>
    </row>
    <row r="20" spans="1:2" x14ac:dyDescent="0.35">
      <c r="A20" s="16" t="s">
        <v>513</v>
      </c>
      <c r="B20" s="16" t="s">
        <v>566</v>
      </c>
    </row>
    <row r="21" spans="1:2" x14ac:dyDescent="0.35">
      <c r="A21" s="16" t="s">
        <v>513</v>
      </c>
      <c r="B21" s="16" t="s">
        <v>567</v>
      </c>
    </row>
    <row r="22" spans="1:2" x14ac:dyDescent="0.35">
      <c r="A22" s="16" t="s">
        <v>513</v>
      </c>
      <c r="B22" s="16" t="s">
        <v>568</v>
      </c>
    </row>
    <row r="23" spans="1:2" x14ac:dyDescent="0.35">
      <c r="A23" s="16" t="s">
        <v>513</v>
      </c>
      <c r="B23" s="16" t="s">
        <v>569</v>
      </c>
    </row>
    <row r="24" spans="1:2" x14ac:dyDescent="0.35">
      <c r="A24" s="16" t="s">
        <v>513</v>
      </c>
      <c r="B24" s="16" t="s">
        <v>580</v>
      </c>
    </row>
    <row r="25" spans="1:2" x14ac:dyDescent="0.35">
      <c r="A25" s="16" t="s">
        <v>513</v>
      </c>
      <c r="B25" s="16" t="s">
        <v>550</v>
      </c>
    </row>
    <row r="26" spans="1:2" x14ac:dyDescent="0.35">
      <c r="A26" s="16" t="s">
        <v>513</v>
      </c>
      <c r="B26" s="16" t="s">
        <v>578</v>
      </c>
    </row>
    <row r="27" spans="1:2" x14ac:dyDescent="0.35">
      <c r="A27" s="16" t="s">
        <v>513</v>
      </c>
      <c r="B27" s="16" t="s">
        <v>583</v>
      </c>
    </row>
    <row r="28" spans="1:2" x14ac:dyDescent="0.35">
      <c r="A28" s="16" t="s">
        <v>513</v>
      </c>
      <c r="B28" s="16" t="s">
        <v>549</v>
      </c>
    </row>
    <row r="29" spans="1:2" x14ac:dyDescent="0.35">
      <c r="A29" s="16" t="s">
        <v>513</v>
      </c>
      <c r="B29" s="16" t="s">
        <v>548</v>
      </c>
    </row>
    <row r="30" spans="1:2" x14ac:dyDescent="0.35">
      <c r="A30" s="16" t="s">
        <v>513</v>
      </c>
      <c r="B30" s="16" t="s">
        <v>577</v>
      </c>
    </row>
    <row r="31" spans="1:2" x14ac:dyDescent="0.35">
      <c r="A31" s="16" t="s">
        <v>513</v>
      </c>
      <c r="B31" s="16" t="s">
        <v>576</v>
      </c>
    </row>
    <row r="32" spans="1:2" x14ac:dyDescent="0.35">
      <c r="A32" s="16" t="s">
        <v>513</v>
      </c>
      <c r="B32" s="16" t="s">
        <v>538</v>
      </c>
    </row>
    <row r="33" spans="1:3" x14ac:dyDescent="0.35">
      <c r="A33" s="16" t="s">
        <v>513</v>
      </c>
      <c r="B33" s="16" t="s">
        <v>553</v>
      </c>
    </row>
    <row r="34" spans="1:3" x14ac:dyDescent="0.35">
      <c r="A34" s="16" t="s">
        <v>513</v>
      </c>
      <c r="B34" s="16" t="s">
        <v>539</v>
      </c>
    </row>
    <row r="35" spans="1:3" x14ac:dyDescent="0.35">
      <c r="A35" s="16" t="s">
        <v>513</v>
      </c>
      <c r="B35" s="16" t="s">
        <v>573</v>
      </c>
    </row>
    <row r="36" spans="1:3" x14ac:dyDescent="0.35">
      <c r="A36" s="16" t="s">
        <v>513</v>
      </c>
      <c r="B36" s="16" t="s">
        <v>570</v>
      </c>
    </row>
    <row r="37" spans="1:3" x14ac:dyDescent="0.35">
      <c r="A37" s="16" t="s">
        <v>513</v>
      </c>
      <c r="B37" s="16" t="s">
        <v>571</v>
      </c>
    </row>
    <row r="38" spans="1:3" x14ac:dyDescent="0.35">
      <c r="A38" s="16" t="s">
        <v>513</v>
      </c>
      <c r="B38" s="16" t="s">
        <v>572</v>
      </c>
    </row>
    <row r="39" spans="1:3" x14ac:dyDescent="0.35">
      <c r="A39" s="16" t="s">
        <v>513</v>
      </c>
      <c r="B39" s="16" t="s">
        <v>552</v>
      </c>
    </row>
    <row r="40" spans="1:3" x14ac:dyDescent="0.35">
      <c r="A40" s="16" t="s">
        <v>513</v>
      </c>
      <c r="B40" s="16" t="s">
        <v>575</v>
      </c>
    </row>
    <row r="41" spans="1:3" x14ac:dyDescent="0.35">
      <c r="A41" s="16" t="s">
        <v>503</v>
      </c>
      <c r="B41" s="16" t="s">
        <v>522</v>
      </c>
    </row>
    <row r="42" spans="1:3" x14ac:dyDescent="0.35">
      <c r="A42" s="16" t="s">
        <v>503</v>
      </c>
      <c r="B42" s="16" t="s">
        <v>544</v>
      </c>
      <c r="C42" s="16"/>
    </row>
    <row r="43" spans="1:3" x14ac:dyDescent="0.35">
      <c r="A43" s="16" t="s">
        <v>503</v>
      </c>
      <c r="B43" s="16" t="s">
        <v>555</v>
      </c>
      <c r="C43" s="16"/>
    </row>
    <row r="44" spans="1:3" x14ac:dyDescent="0.35">
      <c r="A44" s="16" t="s">
        <v>503</v>
      </c>
      <c r="B44" s="16" t="s">
        <v>556</v>
      </c>
      <c r="C44" s="16"/>
    </row>
    <row r="45" spans="1:3" x14ac:dyDescent="0.35">
      <c r="A45" s="16" t="s">
        <v>503</v>
      </c>
      <c r="B45" s="16" t="s">
        <v>557</v>
      </c>
      <c r="C45" s="16"/>
    </row>
    <row r="46" spans="1:3" x14ac:dyDescent="0.35">
      <c r="A46" s="16" t="s">
        <v>503</v>
      </c>
      <c r="B46" s="16" t="s">
        <v>558</v>
      </c>
      <c r="C46" s="16"/>
    </row>
    <row r="47" spans="1:3" x14ac:dyDescent="0.35">
      <c r="A47" s="16" t="s">
        <v>503</v>
      </c>
      <c r="B47" s="16" t="s">
        <v>559</v>
      </c>
      <c r="C47" s="16"/>
    </row>
    <row r="48" spans="1:3" x14ac:dyDescent="0.35">
      <c r="A48" s="16" t="s">
        <v>503</v>
      </c>
      <c r="B48" s="16" t="s">
        <v>561</v>
      </c>
      <c r="C48" s="16"/>
    </row>
    <row r="49" spans="1:3" x14ac:dyDescent="0.35">
      <c r="A49" s="16" t="s">
        <v>503</v>
      </c>
      <c r="B49" s="16" t="s">
        <v>560</v>
      </c>
      <c r="C49" s="16"/>
    </row>
    <row r="50" spans="1:3" x14ac:dyDescent="0.35">
      <c r="A50" s="16" t="s">
        <v>503</v>
      </c>
      <c r="B50" s="16" t="s">
        <v>562</v>
      </c>
      <c r="C50" s="16"/>
    </row>
    <row r="51" spans="1:3" x14ac:dyDescent="0.35">
      <c r="A51" s="16" t="s">
        <v>503</v>
      </c>
      <c r="B51" s="16" t="s">
        <v>563</v>
      </c>
      <c r="C51" s="16"/>
    </row>
    <row r="52" spans="1:3" x14ac:dyDescent="0.35">
      <c r="A52" s="16" t="s">
        <v>513</v>
      </c>
      <c r="B52" s="16" t="s">
        <v>582</v>
      </c>
      <c r="C52" s="16"/>
    </row>
    <row r="53" spans="1:3" x14ac:dyDescent="0.35">
      <c r="A53" s="16" t="s">
        <v>513</v>
      </c>
      <c r="B53" s="16" t="s">
        <v>581</v>
      </c>
      <c r="C53" s="16"/>
    </row>
    <row r="54" spans="1:3" x14ac:dyDescent="0.35">
      <c r="A54" s="16" t="s">
        <v>503</v>
      </c>
      <c r="B54" s="16" t="s">
        <v>551</v>
      </c>
      <c r="C54" s="16" t="s">
        <v>607</v>
      </c>
    </row>
    <row r="55" spans="1:3" x14ac:dyDescent="0.35">
      <c r="A55" s="16" t="s">
        <v>503</v>
      </c>
      <c r="B55" s="16" t="s">
        <v>518</v>
      </c>
      <c r="C55" s="16" t="s">
        <v>607</v>
      </c>
    </row>
    <row r="56" spans="1:3" x14ac:dyDescent="0.35">
      <c r="A56" s="16" t="s">
        <v>503</v>
      </c>
      <c r="B56" s="16" t="s">
        <v>172</v>
      </c>
      <c r="C56" s="16"/>
    </row>
    <row r="57" spans="1:3" x14ac:dyDescent="0.35">
      <c r="A57" s="16" t="s">
        <v>513</v>
      </c>
      <c r="B57" s="16" t="s">
        <v>579</v>
      </c>
      <c r="C57" s="16"/>
    </row>
    <row r="58" spans="1:3" x14ac:dyDescent="0.35">
      <c r="A58" s="16" t="s">
        <v>503</v>
      </c>
      <c r="B58" s="16" t="s">
        <v>547</v>
      </c>
      <c r="C58" s="16" t="s">
        <v>607</v>
      </c>
    </row>
    <row r="59" spans="1:3" x14ac:dyDescent="0.35">
      <c r="A59" s="16" t="s">
        <v>503</v>
      </c>
      <c r="B59" s="16" t="s">
        <v>519</v>
      </c>
      <c r="C59" s="16" t="s">
        <v>607</v>
      </c>
    </row>
    <row r="60" spans="1:3" x14ac:dyDescent="0.35">
      <c r="A60" s="16" t="s">
        <v>503</v>
      </c>
      <c r="B60" s="16" t="s">
        <v>521</v>
      </c>
      <c r="C60" s="16" t="s">
        <v>607</v>
      </c>
    </row>
    <row r="61" spans="1:3" x14ac:dyDescent="0.35">
      <c r="A61" s="16" t="s">
        <v>513</v>
      </c>
      <c r="B61" s="16" t="s">
        <v>516</v>
      </c>
      <c r="C61" s="16"/>
    </row>
    <row r="62" spans="1:3" x14ac:dyDescent="0.35">
      <c r="A62" s="16" t="s">
        <v>503</v>
      </c>
      <c r="B62" s="16" t="s">
        <v>52</v>
      </c>
      <c r="C62" s="16"/>
    </row>
    <row r="63" spans="1:3" x14ac:dyDescent="0.35">
      <c r="A63" s="16" t="s">
        <v>513</v>
      </c>
      <c r="B63" s="16" t="s">
        <v>515</v>
      </c>
      <c r="C63" s="16"/>
    </row>
    <row r="64" spans="1:3" x14ac:dyDescent="0.35">
      <c r="A64" s="16" t="s">
        <v>503</v>
      </c>
      <c r="B64" s="16" t="s">
        <v>53</v>
      </c>
      <c r="C64" s="16"/>
    </row>
    <row r="65" spans="1:3" x14ac:dyDescent="0.35">
      <c r="A65" s="16" t="s">
        <v>503</v>
      </c>
      <c r="B65" s="16" t="s">
        <v>520</v>
      </c>
      <c r="C65" s="16" t="s">
        <v>607</v>
      </c>
    </row>
    <row r="66" spans="1:3" x14ac:dyDescent="0.35">
      <c r="A66" s="16" t="s">
        <v>513</v>
      </c>
      <c r="B66" s="16" t="s">
        <v>514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medidas</vt:lpstr>
      <vt:lpstr>AbasMedidasDIARIO</vt:lpstr>
      <vt:lpstr>ApenasDimensao</vt:lpstr>
      <vt:lpstr>AbasDimensaoDIARIO</vt:lpstr>
      <vt:lpstr>ConfiguraçãoDimensao</vt:lpstr>
      <vt:lpstr>MergeCampos</vt:lpstr>
      <vt:lpstr>MergeExpressoes</vt:lpstr>
      <vt:lpstr>Regras</vt:lpstr>
      <vt:lpstr>ExportExpressoesDimensoesPainel</vt:lpstr>
      <vt:lpstr>ImportDimensoes</vt:lpstr>
      <vt:lpstr>DimensaoExistente</vt:lpstr>
      <vt:lpstr>ImportMeasures</vt:lpstr>
      <vt:lpstr>ResumoExport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Jezer Portilho</dc:creator>
  <cp:lastModifiedBy>Tiago Albuquerque Dos Prazeres</cp:lastModifiedBy>
  <dcterms:created xsi:type="dcterms:W3CDTF">2020-12-09T16:02:29Z</dcterms:created>
  <dcterms:modified xsi:type="dcterms:W3CDTF">2022-05-17T19:17:56Z</dcterms:modified>
</cp:coreProperties>
</file>